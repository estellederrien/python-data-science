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8720" windowHeight="11835"/>
  </bookViews>
  <sheets>
    <sheet name="Question 1" sheetId="1" r:id="rId1"/>
    <sheet name="Question 2" sheetId="2" r:id="rId2"/>
  </sheets>
  <definedNames>
    <definedName name="solver_adj" localSheetId="0" hidden="1">'Question 1'!$F$6:$F$24</definedName>
    <definedName name="solver_adj" localSheetId="1" hidden="1">'Question 2'!$H$8:$H$26,'Question 2'!$J$8:$J$25,'Question 2'!$H$5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hs1" localSheetId="0" hidden="1">'Question 1'!$E$28:$E$54</definedName>
    <definedName name="solver_lhs1" localSheetId="1" hidden="1">'Question 2'!$E$30:$E$56</definedName>
    <definedName name="solver_lhs10" localSheetId="0" hidden="1">'Question 1'!$F$24</definedName>
    <definedName name="solver_lhs10" localSheetId="1" hidden="1">'Question 2'!$H$26</definedName>
    <definedName name="solver_lhs11" localSheetId="0" hidden="1">'Question 1'!$F$24</definedName>
    <definedName name="solver_lhs11" localSheetId="1" hidden="1">'Question 2'!$H$26</definedName>
    <definedName name="solver_lhs12" localSheetId="0" hidden="1">'Question 1'!$F$24</definedName>
    <definedName name="solver_lhs12" localSheetId="1" hidden="1">'Question 2'!$H$26</definedName>
    <definedName name="solver_lhs13" localSheetId="0" hidden="1">'Question 1'!$F$24</definedName>
    <definedName name="solver_lhs13" localSheetId="1" hidden="1">'Question 2'!$H$26</definedName>
    <definedName name="solver_lhs14" localSheetId="0" hidden="1">'Question 1'!$F$24</definedName>
    <definedName name="solver_lhs14" localSheetId="1" hidden="1">'Question 2'!$H$26</definedName>
    <definedName name="solver_lhs15" localSheetId="0" hidden="1">'Question 1'!$F$24</definedName>
    <definedName name="solver_lhs15" localSheetId="1" hidden="1">'Question 2'!$H$26</definedName>
    <definedName name="solver_lhs16" localSheetId="0" hidden="1">'Question 1'!$F$24</definedName>
    <definedName name="solver_lhs16" localSheetId="1" hidden="1">'Question 2'!$H$26</definedName>
    <definedName name="solver_lhs17" localSheetId="0" hidden="1">'Question 1'!$F$24</definedName>
    <definedName name="solver_lhs17" localSheetId="1" hidden="1">'Question 2'!$H$26</definedName>
    <definedName name="solver_lhs18" localSheetId="0" hidden="1">'Question 1'!$F$24</definedName>
    <definedName name="solver_lhs18" localSheetId="1" hidden="1">'Question 2'!$H$26</definedName>
    <definedName name="solver_lhs19" localSheetId="0" hidden="1">'Question 1'!$F$24</definedName>
    <definedName name="solver_lhs19" localSheetId="1" hidden="1">'Question 2'!$H$26</definedName>
    <definedName name="solver_lhs2" localSheetId="0" hidden="1">'Question 1'!$F$10</definedName>
    <definedName name="solver_lhs2" localSheetId="1" hidden="1">'Question 2'!$H$26</definedName>
    <definedName name="solver_lhs20" localSheetId="0" hidden="1">'Question 1'!$F$24</definedName>
    <definedName name="solver_lhs20" localSheetId="1" hidden="1">'Question 2'!$H$26</definedName>
    <definedName name="solver_lhs21" localSheetId="0" hidden="1">'Question 1'!$F$24</definedName>
    <definedName name="solver_lhs21" localSheetId="1" hidden="1">'Question 2'!$H$26</definedName>
    <definedName name="solver_lhs22" localSheetId="0" hidden="1">'Question 1'!$F$24</definedName>
    <definedName name="solver_lhs22" localSheetId="1" hidden="1">'Question 2'!$H$26</definedName>
    <definedName name="solver_lhs23" localSheetId="0" hidden="1">'Question 1'!$F$24</definedName>
    <definedName name="solver_lhs23" localSheetId="1" hidden="1">'Question 2'!$H$26</definedName>
    <definedName name="solver_lhs24" localSheetId="0" hidden="1">'Question 1'!$F$24</definedName>
    <definedName name="solver_lhs24" localSheetId="1" hidden="1">'Question 2'!$H$26</definedName>
    <definedName name="solver_lhs25" localSheetId="0" hidden="1">'Question 1'!$F$24</definedName>
    <definedName name="solver_lhs25" localSheetId="1" hidden="1">'Question 2'!$H$26</definedName>
    <definedName name="solver_lhs26" localSheetId="0" hidden="1">'Question 1'!$F$24</definedName>
    <definedName name="solver_lhs26" localSheetId="1" hidden="1">'Question 2'!$H$26</definedName>
    <definedName name="solver_lhs27" localSheetId="0" hidden="1">'Question 1'!$F$24</definedName>
    <definedName name="solver_lhs27" localSheetId="1" hidden="1">'Question 2'!$H$26</definedName>
    <definedName name="solver_lhs28" localSheetId="0" hidden="1">'Question 1'!$F$24</definedName>
    <definedName name="solver_lhs28" localSheetId="1" hidden="1">'Question 2'!$H$26</definedName>
    <definedName name="solver_lhs29" localSheetId="0" hidden="1">'Question 1'!$F$24</definedName>
    <definedName name="solver_lhs29" localSheetId="1" hidden="1">'Question 2'!$H$26</definedName>
    <definedName name="solver_lhs3" localSheetId="0" hidden="1">'Question 1'!$F$8:$F$9</definedName>
    <definedName name="solver_lhs3" localSheetId="1" hidden="1">'Question 2'!$J$8:$J$26</definedName>
    <definedName name="solver_lhs30" localSheetId="0" hidden="1">'Question 1'!$F$24</definedName>
    <definedName name="solver_lhs30" localSheetId="1" hidden="1">'Question 2'!$H$26</definedName>
    <definedName name="solver_lhs31" localSheetId="0" hidden="1">'Question 1'!$F$24</definedName>
    <definedName name="solver_lhs31" localSheetId="1" hidden="1">'Question 2'!$H$26</definedName>
    <definedName name="solver_lhs32" localSheetId="0" hidden="1">'Question 1'!$F$24</definedName>
    <definedName name="solver_lhs32" localSheetId="1" hidden="1">'Question 2'!$H$26</definedName>
    <definedName name="solver_lhs33" localSheetId="0" hidden="1">'Question 1'!$F$24</definedName>
    <definedName name="solver_lhs33" localSheetId="1" hidden="1">'Question 2'!$H$26</definedName>
    <definedName name="solver_lhs34" localSheetId="0" hidden="1">'Question 1'!$F$24</definedName>
    <definedName name="solver_lhs34" localSheetId="1" hidden="1">'Question 2'!$H$26</definedName>
    <definedName name="solver_lhs35" localSheetId="0" hidden="1">'Question 1'!$F$24</definedName>
    <definedName name="solver_lhs35" localSheetId="1" hidden="1">'Question 2'!$H$26</definedName>
    <definedName name="solver_lhs36" localSheetId="0" hidden="1">'Question 1'!$F$16</definedName>
    <definedName name="solver_lhs36" localSheetId="1" hidden="1">'Question 2'!$H$18</definedName>
    <definedName name="solver_lhs4" localSheetId="0" hidden="1">'Question 1'!$F$10</definedName>
    <definedName name="solver_lhs4" localSheetId="1" hidden="1">'Question 2'!$H$12</definedName>
    <definedName name="solver_lhs5" localSheetId="0" hidden="1">'Question 1'!$F$10</definedName>
    <definedName name="solver_lhs5" localSheetId="1" hidden="1">'Question 2'!$H$12</definedName>
    <definedName name="solver_lhs6" localSheetId="0" hidden="1">'Question 1'!$F$24</definedName>
    <definedName name="solver_lhs6" localSheetId="1" hidden="1">'Question 2'!$H$26</definedName>
    <definedName name="solver_lhs7" localSheetId="0" hidden="1">'Question 1'!$F$24</definedName>
    <definedName name="solver_lhs7" localSheetId="1" hidden="1">'Question 2'!$H$26</definedName>
    <definedName name="solver_lhs8" localSheetId="0" hidden="1">'Question 1'!$F$24</definedName>
    <definedName name="solver_lhs8" localSheetId="1" hidden="1">'Question 2'!$H$26</definedName>
    <definedName name="solver_lhs9" localSheetId="0" hidden="1">'Question 1'!$F$24</definedName>
    <definedName name="solver_lhs9" localSheetId="1" hidden="1">'Question 2'!$H$26</definedName>
    <definedName name="solver_lin" localSheetId="0" hidden="1">1</definedName>
    <definedName name="solver_lin" localSheetId="1" hidden="1">1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3</definedName>
    <definedName name="solver_nwt" localSheetId="0" hidden="1">1</definedName>
    <definedName name="solver_nwt" localSheetId="1" hidden="1">1</definedName>
    <definedName name="solver_opt" localSheetId="0" hidden="1">'Question 1'!$G$3</definedName>
    <definedName name="solver_opt" localSheetId="1" hidden="1">'Question 2'!$H$3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10" localSheetId="0" hidden="1">3</definedName>
    <definedName name="solver_rel10" localSheetId="1" hidden="1">3</definedName>
    <definedName name="solver_rel11" localSheetId="0" hidden="1">3</definedName>
    <definedName name="solver_rel11" localSheetId="1" hidden="1">3</definedName>
    <definedName name="solver_rel12" localSheetId="0" hidden="1">3</definedName>
    <definedName name="solver_rel12" localSheetId="1" hidden="1">3</definedName>
    <definedName name="solver_rel13" localSheetId="0" hidden="1">3</definedName>
    <definedName name="solver_rel13" localSheetId="1" hidden="1">3</definedName>
    <definedName name="solver_rel14" localSheetId="0" hidden="1">3</definedName>
    <definedName name="solver_rel14" localSheetId="1" hidden="1">3</definedName>
    <definedName name="solver_rel15" localSheetId="0" hidden="1">3</definedName>
    <definedName name="solver_rel15" localSheetId="1" hidden="1">3</definedName>
    <definedName name="solver_rel16" localSheetId="0" hidden="1">3</definedName>
    <definedName name="solver_rel16" localSheetId="1" hidden="1">3</definedName>
    <definedName name="solver_rel17" localSheetId="0" hidden="1">3</definedName>
    <definedName name="solver_rel17" localSheetId="1" hidden="1">3</definedName>
    <definedName name="solver_rel18" localSheetId="0" hidden="1">3</definedName>
    <definedName name="solver_rel18" localSheetId="1" hidden="1">3</definedName>
    <definedName name="solver_rel19" localSheetId="0" hidden="1">3</definedName>
    <definedName name="solver_rel19" localSheetId="1" hidden="1">3</definedName>
    <definedName name="solver_rel2" localSheetId="0" hidden="1">3</definedName>
    <definedName name="solver_rel2" localSheetId="1" hidden="1">2</definedName>
    <definedName name="solver_rel20" localSheetId="0" hidden="1">3</definedName>
    <definedName name="solver_rel20" localSheetId="1" hidden="1">3</definedName>
    <definedName name="solver_rel21" localSheetId="0" hidden="1">3</definedName>
    <definedName name="solver_rel21" localSheetId="1" hidden="1">3</definedName>
    <definedName name="solver_rel22" localSheetId="0" hidden="1">3</definedName>
    <definedName name="solver_rel22" localSheetId="1" hidden="1">3</definedName>
    <definedName name="solver_rel23" localSheetId="0" hidden="1">3</definedName>
    <definedName name="solver_rel23" localSheetId="1" hidden="1">3</definedName>
    <definedName name="solver_rel24" localSheetId="0" hidden="1">3</definedName>
    <definedName name="solver_rel24" localSheetId="1" hidden="1">3</definedName>
    <definedName name="solver_rel25" localSheetId="0" hidden="1">3</definedName>
    <definedName name="solver_rel25" localSheetId="1" hidden="1">3</definedName>
    <definedName name="solver_rel26" localSheetId="0" hidden="1">3</definedName>
    <definedName name="solver_rel26" localSheetId="1" hidden="1">3</definedName>
    <definedName name="solver_rel27" localSheetId="0" hidden="1">3</definedName>
    <definedName name="solver_rel27" localSheetId="1" hidden="1">3</definedName>
    <definedName name="solver_rel28" localSheetId="0" hidden="1">3</definedName>
    <definedName name="solver_rel28" localSheetId="1" hidden="1">3</definedName>
    <definedName name="solver_rel29" localSheetId="0" hidden="1">3</definedName>
    <definedName name="solver_rel29" localSheetId="1" hidden="1">3</definedName>
    <definedName name="solver_rel3" localSheetId="0" hidden="1">3</definedName>
    <definedName name="solver_rel3" localSheetId="1" hidden="1">1</definedName>
    <definedName name="solver_rel30" localSheetId="0" hidden="1">3</definedName>
    <definedName name="solver_rel30" localSheetId="1" hidden="1">3</definedName>
    <definedName name="solver_rel31" localSheetId="0" hidden="1">3</definedName>
    <definedName name="solver_rel31" localSheetId="1" hidden="1">3</definedName>
    <definedName name="solver_rel32" localSheetId="0" hidden="1">3</definedName>
    <definedName name="solver_rel32" localSheetId="1" hidden="1">3</definedName>
    <definedName name="solver_rel33" localSheetId="0" hidden="1">3</definedName>
    <definedName name="solver_rel33" localSheetId="1" hidden="1">3</definedName>
    <definedName name="solver_rel34" localSheetId="0" hidden="1">3</definedName>
    <definedName name="solver_rel34" localSheetId="1" hidden="1">3</definedName>
    <definedName name="solver_rel35" localSheetId="0" hidden="1">3</definedName>
    <definedName name="solver_rel35" localSheetId="1" hidden="1">3</definedName>
    <definedName name="solver_rel36" localSheetId="0" hidden="1">3</definedName>
    <definedName name="solver_rel36" localSheetId="1" hidden="1">3</definedName>
    <definedName name="solver_rel4" localSheetId="0" hidden="1">3</definedName>
    <definedName name="solver_rel4" localSheetId="1" hidden="1">3</definedName>
    <definedName name="solver_rel5" localSheetId="0" hidden="1">3</definedName>
    <definedName name="solver_rel5" localSheetId="1" hidden="1">3</definedName>
    <definedName name="solver_rel6" localSheetId="0" hidden="1">3</definedName>
    <definedName name="solver_rel6" localSheetId="1" hidden="1">3</definedName>
    <definedName name="solver_rel7" localSheetId="0" hidden="1">3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0" hidden="1">3</definedName>
    <definedName name="solver_rel9" localSheetId="1" hidden="1">3</definedName>
    <definedName name="solver_rhs1" localSheetId="0" hidden="1">'Question 1'!$D$28:$D$54</definedName>
    <definedName name="solver_rhs1" localSheetId="1" hidden="1">'Question 2'!$D$30:$D$56</definedName>
    <definedName name="solver_rhs10" localSheetId="0" hidden="1">'Question 1'!$G$23</definedName>
    <definedName name="solver_rhs10" localSheetId="1" hidden="1">'Question 2'!$I$25</definedName>
    <definedName name="solver_rhs11" localSheetId="0" hidden="1">'Question 1'!$G$23</definedName>
    <definedName name="solver_rhs11" localSheetId="1" hidden="1">'Question 2'!$I$25</definedName>
    <definedName name="solver_rhs12" localSheetId="0" hidden="1">'Question 1'!$G$7</definedName>
    <definedName name="solver_rhs12" localSheetId="1" hidden="1">'Question 2'!$I$9</definedName>
    <definedName name="solver_rhs13" localSheetId="0" hidden="1">'Question 1'!$G$8</definedName>
    <definedName name="solver_rhs13" localSheetId="1" hidden="1">'Question 2'!$I$10</definedName>
    <definedName name="solver_rhs14" localSheetId="0" hidden="1">'Question 1'!$G$8</definedName>
    <definedName name="solver_rhs14" localSheetId="1" hidden="1">'Question 2'!$I$10</definedName>
    <definedName name="solver_rhs15" localSheetId="0" hidden="1">'Question 1'!$G$23</definedName>
    <definedName name="solver_rhs15" localSheetId="1" hidden="1">'Question 2'!$I$25</definedName>
    <definedName name="solver_rhs16" localSheetId="0" hidden="1">'Question 1'!$G$6</definedName>
    <definedName name="solver_rhs16" localSheetId="1" hidden="1">'Question 2'!$I$8</definedName>
    <definedName name="solver_rhs17" localSheetId="0" hidden="1">'Question 1'!$G$9</definedName>
    <definedName name="solver_rhs17" localSheetId="1" hidden="1">'Question 2'!$I$11</definedName>
    <definedName name="solver_rhs18" localSheetId="0" hidden="1">'Question 1'!$G$6</definedName>
    <definedName name="solver_rhs18" localSheetId="1" hidden="1">'Question 2'!$I$8</definedName>
    <definedName name="solver_rhs19" localSheetId="0" hidden="1">'Question 1'!$G$7</definedName>
    <definedName name="solver_rhs19" localSheetId="1" hidden="1">'Question 2'!$I$9</definedName>
    <definedName name="solver_rhs2" localSheetId="0" hidden="1">'Question 1'!$G$8</definedName>
    <definedName name="solver_rhs2" localSheetId="1" hidden="1">'Question 2'!$H$4</definedName>
    <definedName name="solver_rhs20" localSheetId="0" hidden="1">'Question 1'!$G$8</definedName>
    <definedName name="solver_rhs20" localSheetId="1" hidden="1">'Question 2'!$I$10</definedName>
    <definedName name="solver_rhs21" localSheetId="0" hidden="1">'Question 1'!$G$23</definedName>
    <definedName name="solver_rhs21" localSheetId="1" hidden="1">'Question 2'!$I$25</definedName>
    <definedName name="solver_rhs22" localSheetId="0" hidden="1">'Question 1'!$G$9</definedName>
    <definedName name="solver_rhs22" localSheetId="1" hidden="1">'Question 2'!$I$11</definedName>
    <definedName name="solver_rhs23" localSheetId="0" hidden="1">'Question 1'!$G$11</definedName>
    <definedName name="solver_rhs23" localSheetId="1" hidden="1">'Question 2'!$I$13</definedName>
    <definedName name="solver_rhs24" localSheetId="0" hidden="1">'Question 1'!$G$12</definedName>
    <definedName name="solver_rhs24" localSheetId="1" hidden="1">'Question 2'!$I$14</definedName>
    <definedName name="solver_rhs25" localSheetId="0" hidden="1">'Question 1'!$G$13</definedName>
    <definedName name="solver_rhs25" localSheetId="1" hidden="1">'Question 2'!$I$15</definedName>
    <definedName name="solver_rhs26" localSheetId="0" hidden="1">'Question 1'!$G$14</definedName>
    <definedName name="solver_rhs26" localSheetId="1" hidden="1">'Question 2'!$I$16</definedName>
    <definedName name="solver_rhs27" localSheetId="0" hidden="1">'Question 1'!$G$15</definedName>
    <definedName name="solver_rhs27" localSheetId="1" hidden="1">'Question 2'!$I$17</definedName>
    <definedName name="solver_rhs28" localSheetId="0" hidden="1">'Question 1'!$G$16</definedName>
    <definedName name="solver_rhs28" localSheetId="1" hidden="1">'Question 2'!$I$18</definedName>
    <definedName name="solver_rhs29" localSheetId="0" hidden="1">'Question 1'!$G$17</definedName>
    <definedName name="solver_rhs29" localSheetId="1" hidden="1">'Question 2'!$I$19</definedName>
    <definedName name="solver_rhs3" localSheetId="0" hidden="1">'Question 1'!$G$7</definedName>
    <definedName name="solver_rhs3" localSheetId="1" hidden="1">'Question 2'!$F$8:$F$26</definedName>
    <definedName name="solver_rhs30" localSheetId="0" hidden="1">'Question 1'!$G$18</definedName>
    <definedName name="solver_rhs30" localSheetId="1" hidden="1">'Question 2'!$I$20</definedName>
    <definedName name="solver_rhs31" localSheetId="0" hidden="1">'Question 1'!$G$19</definedName>
    <definedName name="solver_rhs31" localSheetId="1" hidden="1">'Question 2'!$I$21</definedName>
    <definedName name="solver_rhs32" localSheetId="0" hidden="1">'Question 1'!$G$20</definedName>
    <definedName name="solver_rhs32" localSheetId="1" hidden="1">'Question 2'!$I$22</definedName>
    <definedName name="solver_rhs33" localSheetId="0" hidden="1">'Question 1'!$G$21</definedName>
    <definedName name="solver_rhs33" localSheetId="1" hidden="1">'Question 2'!$I$23</definedName>
    <definedName name="solver_rhs34" localSheetId="0" hidden="1">'Question 1'!$G$22</definedName>
    <definedName name="solver_rhs34" localSheetId="1" hidden="1">'Question 2'!$I$24</definedName>
    <definedName name="solver_rhs35" localSheetId="0" hidden="1">'Question 1'!$G$10</definedName>
    <definedName name="solver_rhs35" localSheetId="1" hidden="1">'Question 2'!$I$12</definedName>
    <definedName name="solver_rhs36" localSheetId="0" hidden="1">'Question 1'!$G$11</definedName>
    <definedName name="solver_rhs36" localSheetId="1" hidden="1">'Question 2'!$I$13</definedName>
    <definedName name="solver_rhs4" localSheetId="0" hidden="1">'Question 1'!$G$8</definedName>
    <definedName name="solver_rhs4" localSheetId="1" hidden="1">'Question 2'!$I$10</definedName>
    <definedName name="solver_rhs5" localSheetId="0" hidden="1">'Question 1'!$G$8</definedName>
    <definedName name="solver_rhs5" localSheetId="1" hidden="1">'Question 2'!$I$10</definedName>
    <definedName name="solver_rhs6" localSheetId="0" hidden="1">'Question 1'!$G$10</definedName>
    <definedName name="solver_rhs6" localSheetId="1" hidden="1">'Question 2'!$I$12</definedName>
    <definedName name="solver_rhs7" localSheetId="0" hidden="1">'Question 1'!$G$7</definedName>
    <definedName name="solver_rhs7" localSheetId="1" hidden="1">'Question 2'!$I$9</definedName>
    <definedName name="solver_rhs8" localSheetId="0" hidden="1">'Question 1'!$G$9</definedName>
    <definedName name="solver_rhs8" localSheetId="1" hidden="1">'Question 2'!$I$11</definedName>
    <definedName name="solver_rhs9" localSheetId="0" hidden="1">'Question 1'!$G$8</definedName>
    <definedName name="solver_rhs9" localSheetId="1" hidden="1">'Question 2'!$I$10</definedName>
    <definedName name="solver_rlx" localSheetId="0" hidden="1">1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E54" i="1" l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H3" i="2" l="1"/>
  <c r="AZ49" i="1"/>
  <c r="AY48" i="1"/>
  <c r="AX47" i="1"/>
  <c r="AW46" i="1"/>
  <c r="AV45" i="1"/>
  <c r="AU44" i="1"/>
  <c r="AT43" i="1"/>
  <c r="AS42" i="1"/>
  <c r="AR41" i="1"/>
  <c r="AQ40" i="1"/>
  <c r="AP39" i="1"/>
  <c r="AO38" i="1"/>
  <c r="AN37" i="1"/>
  <c r="AM36" i="1"/>
  <c r="AL35" i="1"/>
  <c r="AK34" i="1"/>
  <c r="AJ33" i="1"/>
  <c r="AI32" i="1"/>
  <c r="AH31" i="1"/>
  <c r="AG30" i="1"/>
  <c r="AF29" i="1"/>
  <c r="AE28" i="1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G3" i="1"/>
  <c r="H4" i="2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</calcChain>
</file>

<file path=xl/sharedStrings.xml><?xml version="1.0" encoding="utf-8"?>
<sst xmlns="http://schemas.openxmlformats.org/spreadsheetml/2006/main" count="83" uniqueCount="50">
  <si>
    <t>Libellé des tâches</t>
  </si>
  <si>
    <t>Durée</t>
  </si>
  <si>
    <t>Installation du chantier</t>
  </si>
  <si>
    <t>Aucune</t>
  </si>
  <si>
    <t>Terrassements</t>
  </si>
  <si>
    <t>Construction des fondations</t>
  </si>
  <si>
    <t>VRD (voirie, réseaux divers)</t>
  </si>
  <si>
    <t>Elévation du sous-sol</t>
  </si>
  <si>
    <t>Plancher principal</t>
  </si>
  <si>
    <t>4, 5</t>
  </si>
  <si>
    <t>Cloisonnement des vestiaires</t>
  </si>
  <si>
    <t>Electrification des gradins</t>
  </si>
  <si>
    <t>Pose du toit</t>
  </si>
  <si>
    <t>4, 6</t>
  </si>
  <si>
    <t>Eclairage du stade</t>
  </si>
  <si>
    <t>Installation des gradins</t>
  </si>
  <si>
    <t>Mise hors d’eau du toit</t>
  </si>
  <si>
    <t>Finition des vestiaires</t>
  </si>
  <si>
    <t>Construction de la billetterie annexe</t>
  </si>
  <si>
    <t>Voirie secondaire</t>
  </si>
  <si>
    <t>4, 14</t>
  </si>
  <si>
    <t>Signalétique</t>
  </si>
  <si>
    <t>8, 11, 14</t>
  </si>
  <si>
    <t>Pelouse et accessoires sportifs</t>
  </si>
  <si>
    <t>Réception de l’ouvrage</t>
  </si>
  <si>
    <t>Tâches
précédentes</t>
  </si>
  <si>
    <t>Fin des travaux</t>
  </si>
  <si>
    <t>Toutes</t>
  </si>
  <si>
    <t>Date de fin du chantier</t>
  </si>
  <si>
    <t>Début arc (i)</t>
  </si>
  <si>
    <t>Fin arc (j)</t>
  </si>
  <si>
    <t>t(j)-t(i)</t>
  </si>
  <si>
    <t>Précédences</t>
  </si>
  <si>
    <t>t(j)-t(i)+s(i)</t>
  </si>
  <si>
    <t>C6-Stade : construction d'un stade.</t>
  </si>
  <si>
    <t>C6-Stade : construction d'un stade (avec compression).</t>
  </si>
  <si>
    <t>Durée p(i)</t>
  </si>
  <si>
    <t>Début
t(i)</t>
  </si>
  <si>
    <t>Fin
t(i)+p(i)</t>
  </si>
  <si>
    <t>N° tâche
(i)</t>
  </si>
  <si>
    <t>Arcs définissant les précédences</t>
  </si>
  <si>
    <t>Durée
p(i)</t>
  </si>
  <si>
    <t>Réduction
max r(i)</t>
  </si>
  <si>
    <t>Réduction 
réelle s(i)</t>
  </si>
  <si>
    <t>Avance (A)</t>
  </si>
  <si>
    <t>Fin de chantier sans compression (F)</t>
  </si>
  <si>
    <t>Coût supplémentaire
par semaine c(i)</t>
  </si>
  <si>
    <t>Prime par semaine d'avance (P)</t>
  </si>
  <si>
    <t>Gain maximal en k€</t>
  </si>
  <si>
    <t>Nouvelle durée du chantier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</si>
</sst>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1"/>
    </font>
    <font>
      <b/>
      <sz val="11"/>
      <color indexed="8"/>
      <name val="Calibri"/>
      <family val="1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vertical="center"/>
    </xf>
    <xf numFmtId="0" fontId="7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1" fontId="6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0" xfId="0" applyFont="1"/>
    <xf numFmtId="0" fontId="8" fillId="0" borderId="3" xfId="0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Précédences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27</xdr:row>
          <xdr:rowOff>9525</xdr:rowOff>
        </xdr:from>
        <xdr:to>
          <xdr:col>6</xdr:col>
          <xdr:colOff>1314450</xdr:colOff>
          <xdr:row>29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Précédences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Z54"/>
  <sheetViews>
    <sheetView tabSelected="1" zoomScaleNormal="100" workbookViewId="0">
      <selection activeCell="D28" sqref="D28:E54"/>
    </sheetView>
  </sheetViews>
  <sheetFormatPr baseColWidth="10" defaultColWidth="20.140625" defaultRowHeight="15" x14ac:dyDescent="0.25"/>
  <cols>
    <col min="1" max="1" width="8.42578125" style="1" bestFit="1" customWidth="1"/>
    <col min="2" max="3" width="17.85546875" style="1" customWidth="1"/>
    <col min="4" max="4" width="6.5703125" style="1" customWidth="1"/>
    <col min="5" max="5" width="12.140625" style="1" bestFit="1" customWidth="1"/>
    <col min="6" max="6" width="10" style="1" bestFit="1" customWidth="1"/>
    <col min="7" max="7" width="19.85546875" style="1" bestFit="1" customWidth="1"/>
    <col min="8" max="9" width="7.5703125" style="1" customWidth="1"/>
    <col min="10" max="10" width="20.140625" style="1" customWidth="1"/>
    <col min="11" max="16384" width="20.140625" style="1"/>
  </cols>
  <sheetData>
    <row r="1" spans="1:7" ht="26.25" x14ac:dyDescent="0.4">
      <c r="A1" s="2" t="s">
        <v>34</v>
      </c>
    </row>
    <row r="2" spans="1:7" x14ac:dyDescent="0.25">
      <c r="A2" s="20"/>
    </row>
    <row r="3" spans="1:7" x14ac:dyDescent="0.25">
      <c r="A3" s="20"/>
      <c r="E3" s="28" t="s">
        <v>28</v>
      </c>
      <c r="F3" s="28"/>
      <c r="G3" s="3">
        <f>F24</f>
        <v>64</v>
      </c>
    </row>
    <row r="5" spans="1:7" ht="35.25" customHeight="1" x14ac:dyDescent="0.25">
      <c r="A5" s="4" t="s">
        <v>39</v>
      </c>
      <c r="B5" s="29" t="s">
        <v>0</v>
      </c>
      <c r="C5" s="30"/>
      <c r="D5" s="4" t="s">
        <v>36</v>
      </c>
      <c r="E5" s="4" t="s">
        <v>25</v>
      </c>
      <c r="F5" s="4" t="s">
        <v>37</v>
      </c>
      <c r="G5" s="4" t="s">
        <v>38</v>
      </c>
    </row>
    <row r="6" spans="1:7" x14ac:dyDescent="0.25">
      <c r="A6" s="5">
        <v>1</v>
      </c>
      <c r="B6" s="25" t="s">
        <v>2</v>
      </c>
      <c r="C6" s="26"/>
      <c r="D6" s="5">
        <v>2</v>
      </c>
      <c r="E6" s="5" t="s">
        <v>3</v>
      </c>
      <c r="F6" s="17">
        <v>0</v>
      </c>
      <c r="G6" s="16">
        <f t="shared" ref="G6:G24" si="0">F6+D6</f>
        <v>2</v>
      </c>
    </row>
    <row r="7" spans="1:7" x14ac:dyDescent="0.25">
      <c r="A7" s="5">
        <v>2</v>
      </c>
      <c r="B7" s="25" t="s">
        <v>4</v>
      </c>
      <c r="C7" s="26"/>
      <c r="D7" s="5">
        <v>16</v>
      </c>
      <c r="E7" s="5">
        <v>1</v>
      </c>
      <c r="F7" s="17">
        <v>2</v>
      </c>
      <c r="G7" s="16">
        <f t="shared" si="0"/>
        <v>18</v>
      </c>
    </row>
    <row r="8" spans="1:7" x14ac:dyDescent="0.25">
      <c r="A8" s="5">
        <v>3</v>
      </c>
      <c r="B8" s="25" t="s">
        <v>5</v>
      </c>
      <c r="C8" s="26"/>
      <c r="D8" s="5">
        <v>9</v>
      </c>
      <c r="E8" s="5">
        <v>2</v>
      </c>
      <c r="F8" s="17">
        <v>18</v>
      </c>
      <c r="G8" s="16">
        <f t="shared" si="0"/>
        <v>27</v>
      </c>
    </row>
    <row r="9" spans="1:7" x14ac:dyDescent="0.25">
      <c r="A9" s="5">
        <v>4</v>
      </c>
      <c r="B9" s="25" t="s">
        <v>6</v>
      </c>
      <c r="C9" s="26"/>
      <c r="D9" s="5">
        <v>8</v>
      </c>
      <c r="E9" s="5">
        <v>2</v>
      </c>
      <c r="F9" s="17">
        <v>18</v>
      </c>
      <c r="G9" s="16">
        <f t="shared" si="0"/>
        <v>26</v>
      </c>
    </row>
    <row r="10" spans="1:7" x14ac:dyDescent="0.25">
      <c r="A10" s="5">
        <v>5</v>
      </c>
      <c r="B10" s="25" t="s">
        <v>7</v>
      </c>
      <c r="C10" s="26"/>
      <c r="D10" s="5">
        <v>10</v>
      </c>
      <c r="E10" s="5">
        <v>3</v>
      </c>
      <c r="F10" s="17">
        <v>27</v>
      </c>
      <c r="G10" s="16">
        <f t="shared" si="0"/>
        <v>37</v>
      </c>
    </row>
    <row r="11" spans="1:7" x14ac:dyDescent="0.25">
      <c r="A11" s="5">
        <v>6</v>
      </c>
      <c r="B11" s="25" t="s">
        <v>8</v>
      </c>
      <c r="C11" s="26"/>
      <c r="D11" s="5">
        <v>6</v>
      </c>
      <c r="E11" s="5" t="s">
        <v>9</v>
      </c>
      <c r="F11" s="17">
        <v>37</v>
      </c>
      <c r="G11" s="16">
        <f t="shared" si="0"/>
        <v>43</v>
      </c>
    </row>
    <row r="12" spans="1:7" x14ac:dyDescent="0.25">
      <c r="A12" s="5">
        <v>7</v>
      </c>
      <c r="B12" s="25" t="s">
        <v>10</v>
      </c>
      <c r="C12" s="26"/>
      <c r="D12" s="5">
        <v>2</v>
      </c>
      <c r="E12" s="5">
        <v>4</v>
      </c>
      <c r="F12" s="17">
        <v>61</v>
      </c>
      <c r="G12" s="16">
        <f t="shared" si="0"/>
        <v>63</v>
      </c>
    </row>
    <row r="13" spans="1:7" x14ac:dyDescent="0.25">
      <c r="A13" s="5">
        <v>8</v>
      </c>
      <c r="B13" s="25" t="s">
        <v>11</v>
      </c>
      <c r="C13" s="26"/>
      <c r="D13" s="5">
        <v>2</v>
      </c>
      <c r="E13" s="5">
        <v>6</v>
      </c>
      <c r="F13" s="17">
        <v>59</v>
      </c>
      <c r="G13" s="16">
        <f t="shared" si="0"/>
        <v>61</v>
      </c>
    </row>
    <row r="14" spans="1:7" x14ac:dyDescent="0.25">
      <c r="A14" s="5">
        <v>9</v>
      </c>
      <c r="B14" s="25" t="s">
        <v>12</v>
      </c>
      <c r="C14" s="26"/>
      <c r="D14" s="5">
        <v>9</v>
      </c>
      <c r="E14" s="5" t="s">
        <v>13</v>
      </c>
      <c r="F14" s="17">
        <v>43</v>
      </c>
      <c r="G14" s="16">
        <f t="shared" si="0"/>
        <v>52</v>
      </c>
    </row>
    <row r="15" spans="1:7" x14ac:dyDescent="0.25">
      <c r="A15" s="5">
        <v>10</v>
      </c>
      <c r="B15" s="25" t="s">
        <v>14</v>
      </c>
      <c r="C15" s="26"/>
      <c r="D15" s="5">
        <v>5</v>
      </c>
      <c r="E15" s="5">
        <v>4</v>
      </c>
      <c r="F15" s="17">
        <v>59</v>
      </c>
      <c r="G15" s="16">
        <f t="shared" si="0"/>
        <v>64</v>
      </c>
    </row>
    <row r="16" spans="1:7" x14ac:dyDescent="0.25">
      <c r="A16" s="5">
        <v>11</v>
      </c>
      <c r="B16" s="25" t="s">
        <v>15</v>
      </c>
      <c r="C16" s="26"/>
      <c r="D16" s="5">
        <v>3</v>
      </c>
      <c r="E16" s="5">
        <v>6</v>
      </c>
      <c r="F16" s="17">
        <v>58</v>
      </c>
      <c r="G16" s="16">
        <f t="shared" si="0"/>
        <v>61</v>
      </c>
    </row>
    <row r="17" spans="1:35" x14ac:dyDescent="0.25">
      <c r="A17" s="5">
        <v>12</v>
      </c>
      <c r="B17" s="25" t="s">
        <v>16</v>
      </c>
      <c r="C17" s="26"/>
      <c r="D17" s="5">
        <v>2</v>
      </c>
      <c r="E17" s="5">
        <v>9</v>
      </c>
      <c r="F17" s="17">
        <v>52</v>
      </c>
      <c r="G17" s="16">
        <f t="shared" si="0"/>
        <v>54</v>
      </c>
    </row>
    <row r="18" spans="1:35" x14ac:dyDescent="0.25">
      <c r="A18" s="5">
        <v>13</v>
      </c>
      <c r="B18" s="25" t="s">
        <v>17</v>
      </c>
      <c r="C18" s="26"/>
      <c r="D18" s="5">
        <v>1</v>
      </c>
      <c r="E18" s="5">
        <v>7</v>
      </c>
      <c r="F18" s="17">
        <v>63</v>
      </c>
      <c r="G18" s="16">
        <f t="shared" si="0"/>
        <v>64</v>
      </c>
    </row>
    <row r="19" spans="1:35" x14ac:dyDescent="0.25">
      <c r="A19" s="5">
        <v>14</v>
      </c>
      <c r="B19" s="25" t="s">
        <v>18</v>
      </c>
      <c r="C19" s="26"/>
      <c r="D19" s="5">
        <v>7</v>
      </c>
      <c r="E19" s="5">
        <v>2</v>
      </c>
      <c r="F19" s="17">
        <v>53</v>
      </c>
      <c r="G19" s="16">
        <f t="shared" si="0"/>
        <v>60</v>
      </c>
    </row>
    <row r="20" spans="1:35" x14ac:dyDescent="0.25">
      <c r="A20" s="5">
        <v>15</v>
      </c>
      <c r="B20" s="25" t="s">
        <v>19</v>
      </c>
      <c r="C20" s="26"/>
      <c r="D20" s="5">
        <v>4</v>
      </c>
      <c r="E20" s="5" t="s">
        <v>20</v>
      </c>
      <c r="F20" s="17">
        <v>60</v>
      </c>
      <c r="G20" s="16">
        <f t="shared" si="0"/>
        <v>64</v>
      </c>
    </row>
    <row r="21" spans="1:35" x14ac:dyDescent="0.25">
      <c r="A21" s="5">
        <v>16</v>
      </c>
      <c r="B21" s="25" t="s">
        <v>21</v>
      </c>
      <c r="C21" s="26"/>
      <c r="D21" s="5">
        <v>3</v>
      </c>
      <c r="E21" s="5" t="s">
        <v>22</v>
      </c>
      <c r="F21" s="17">
        <v>61</v>
      </c>
      <c r="G21" s="16">
        <f t="shared" si="0"/>
        <v>64</v>
      </c>
    </row>
    <row r="22" spans="1:35" x14ac:dyDescent="0.25">
      <c r="A22" s="5">
        <v>17</v>
      </c>
      <c r="B22" s="25" t="s">
        <v>23</v>
      </c>
      <c r="C22" s="26"/>
      <c r="D22" s="5">
        <v>9</v>
      </c>
      <c r="E22" s="5">
        <v>12</v>
      </c>
      <c r="F22" s="17">
        <v>54</v>
      </c>
      <c r="G22" s="16">
        <f t="shared" si="0"/>
        <v>63</v>
      </c>
    </row>
    <row r="23" spans="1:35" x14ac:dyDescent="0.25">
      <c r="A23" s="5">
        <v>18</v>
      </c>
      <c r="B23" s="25" t="s">
        <v>24</v>
      </c>
      <c r="C23" s="26"/>
      <c r="D23" s="5">
        <v>1</v>
      </c>
      <c r="E23" s="5">
        <v>17</v>
      </c>
      <c r="F23" s="17">
        <v>63</v>
      </c>
      <c r="G23" s="16">
        <f t="shared" si="0"/>
        <v>64</v>
      </c>
    </row>
    <row r="24" spans="1:35" x14ac:dyDescent="0.25">
      <c r="A24" s="5">
        <v>19</v>
      </c>
      <c r="B24" s="25" t="s">
        <v>26</v>
      </c>
      <c r="C24" s="26"/>
      <c r="D24" s="5">
        <v>0</v>
      </c>
      <c r="E24" s="5" t="s">
        <v>27</v>
      </c>
      <c r="F24" s="17">
        <v>64</v>
      </c>
      <c r="G24" s="16">
        <f t="shared" si="0"/>
        <v>64</v>
      </c>
    </row>
    <row r="25" spans="1:35" x14ac:dyDescent="0.25">
      <c r="A25" s="8"/>
      <c r="B25" s="8"/>
      <c r="C25" s="8"/>
      <c r="D25" s="8"/>
      <c r="E25" s="8"/>
      <c r="F25" s="8"/>
      <c r="G25" s="8"/>
      <c r="I25" s="19"/>
    </row>
    <row r="26" spans="1:35" x14ac:dyDescent="0.25">
      <c r="A26" s="8"/>
      <c r="B26" s="27" t="s">
        <v>40</v>
      </c>
      <c r="C26" s="27"/>
      <c r="D26" s="8"/>
      <c r="E26" s="8"/>
    </row>
    <row r="27" spans="1:35" x14ac:dyDescent="0.25">
      <c r="A27" s="8"/>
      <c r="B27" s="10" t="s">
        <v>29</v>
      </c>
      <c r="C27" s="10" t="s">
        <v>30</v>
      </c>
      <c r="D27" s="21" t="s">
        <v>1</v>
      </c>
      <c r="E27" s="10" t="s">
        <v>31</v>
      </c>
    </row>
    <row r="28" spans="1:35" x14ac:dyDescent="0.25">
      <c r="A28" s="8"/>
      <c r="B28" s="11">
        <v>1</v>
      </c>
      <c r="C28" s="11">
        <v>2</v>
      </c>
      <c r="D28" s="22">
        <f>INDEX(D$6:D$24,B28)</f>
        <v>2</v>
      </c>
      <c r="E28" s="22">
        <f>INDEX($F$6:$F$24,$C28)-INDEX($F$6:$F$24,$B28)</f>
        <v>2</v>
      </c>
      <c r="AE28" s="1">
        <f>INDEX($F$6:$F$24,$C28)-INDEX($F$6:$F$24,$B28)</f>
        <v>2</v>
      </c>
    </row>
    <row r="29" spans="1:35" x14ac:dyDescent="0.25">
      <c r="A29" s="8"/>
      <c r="B29" s="11">
        <v>2</v>
      </c>
      <c r="C29" s="11">
        <v>3</v>
      </c>
      <c r="D29" s="22">
        <f>INDEX(D$6:D$24,B29)</f>
        <v>16</v>
      </c>
      <c r="E29" s="22">
        <f>INDEX($F$6:$F$24,$C29)-INDEX($F$6:$F$24,$B29)</f>
        <v>16</v>
      </c>
      <c r="AF29" s="1">
        <f>INDEX($F$6:$F$24,$C29)-INDEX($F$6:$F$24,$B29)</f>
        <v>16</v>
      </c>
    </row>
    <row r="30" spans="1:35" x14ac:dyDescent="0.25">
      <c r="A30" s="8"/>
      <c r="B30" s="11">
        <v>2</v>
      </c>
      <c r="C30" s="11">
        <v>4</v>
      </c>
      <c r="D30" s="22">
        <f>INDEX(D$6:D$24,B30)</f>
        <v>16</v>
      </c>
      <c r="E30" s="22">
        <f>INDEX($F$6:$F$24,$C30)-INDEX($F$6:$F$24,$B30)</f>
        <v>16</v>
      </c>
      <c r="AG30" s="1">
        <f>INDEX($F$6:$F$24,$C30)-INDEX($F$6:$F$24,$B30)</f>
        <v>16</v>
      </c>
    </row>
    <row r="31" spans="1:35" x14ac:dyDescent="0.25">
      <c r="A31" s="8"/>
      <c r="B31" s="11">
        <v>3</v>
      </c>
      <c r="C31" s="11">
        <v>5</v>
      </c>
      <c r="D31" s="22">
        <f>INDEX(D$6:D$24,B31)</f>
        <v>9</v>
      </c>
      <c r="E31" s="22">
        <f>INDEX($F$6:$F$24,$C31)-INDEX($F$6:$F$24,$B31)</f>
        <v>9</v>
      </c>
      <c r="AH31" s="1">
        <f>INDEX($F$6:$F$24,$C31)-INDEX($F$6:$F$24,$B31)</f>
        <v>9</v>
      </c>
    </row>
    <row r="32" spans="1:35" x14ac:dyDescent="0.25">
      <c r="A32" s="8"/>
      <c r="B32" s="11">
        <v>4</v>
      </c>
      <c r="C32" s="11">
        <v>6</v>
      </c>
      <c r="D32" s="22">
        <f>INDEX(D$6:D$24,B32)</f>
        <v>8</v>
      </c>
      <c r="E32" s="22">
        <f>INDEX($F$6:$F$24,$C32)-INDEX($F$6:$F$24,$B32)</f>
        <v>19</v>
      </c>
      <c r="AI32" s="1">
        <f>INDEX($F$6:$F$24,$C32)-INDEX($F$6:$F$24,$B32)</f>
        <v>19</v>
      </c>
    </row>
    <row r="33" spans="1:51" x14ac:dyDescent="0.25">
      <c r="A33" s="8"/>
      <c r="B33" s="11">
        <v>5</v>
      </c>
      <c r="C33" s="11">
        <v>6</v>
      </c>
      <c r="D33" s="22">
        <f>INDEX(D$6:D$24,B33)</f>
        <v>10</v>
      </c>
      <c r="E33" s="22">
        <f>INDEX($F$6:$F$24,$C33)-INDEX($F$6:$F$24,$B33)</f>
        <v>10</v>
      </c>
      <c r="AJ33" s="1">
        <f>INDEX($F$6:$F$24,$C33)-INDEX($F$6:$F$24,$B33)</f>
        <v>10</v>
      </c>
    </row>
    <row r="34" spans="1:51" x14ac:dyDescent="0.25">
      <c r="A34" s="8"/>
      <c r="B34" s="11">
        <v>4</v>
      </c>
      <c r="C34" s="11">
        <v>7</v>
      </c>
      <c r="D34" s="22">
        <f>INDEX(D$6:D$24,B34)</f>
        <v>8</v>
      </c>
      <c r="E34" s="22">
        <f>INDEX($F$6:$F$24,$C34)-INDEX($F$6:$F$24,$B34)</f>
        <v>43</v>
      </c>
      <c r="AK34" s="1">
        <f>INDEX($F$6:$F$24,$C34)-INDEX($F$6:$F$24,$B34)</f>
        <v>43</v>
      </c>
    </row>
    <row r="35" spans="1:51" x14ac:dyDescent="0.25">
      <c r="A35" s="8"/>
      <c r="B35" s="11">
        <v>6</v>
      </c>
      <c r="C35" s="11">
        <v>8</v>
      </c>
      <c r="D35" s="22">
        <f>INDEX(D$6:D$24,B35)</f>
        <v>6</v>
      </c>
      <c r="E35" s="22">
        <f>INDEX($F$6:$F$24,$C35)-INDEX($F$6:$F$24,$B35)</f>
        <v>22</v>
      </c>
      <c r="AL35" s="1">
        <f>INDEX($F$6:$F$24,$C35)-INDEX($F$6:$F$24,$B35)</f>
        <v>22</v>
      </c>
    </row>
    <row r="36" spans="1:51" x14ac:dyDescent="0.25">
      <c r="A36" s="8"/>
      <c r="B36" s="11">
        <v>4</v>
      </c>
      <c r="C36" s="11">
        <v>9</v>
      </c>
      <c r="D36" s="22">
        <f>INDEX(D$6:D$24,B36)</f>
        <v>8</v>
      </c>
      <c r="E36" s="22">
        <f>INDEX($F$6:$F$24,$C36)-INDEX($F$6:$F$24,$B36)</f>
        <v>25</v>
      </c>
      <c r="AM36" s="1">
        <f>INDEX($F$6:$F$24,$C36)-INDEX($F$6:$F$24,$B36)</f>
        <v>25</v>
      </c>
    </row>
    <row r="37" spans="1:51" x14ac:dyDescent="0.25">
      <c r="A37" s="8"/>
      <c r="B37" s="11">
        <v>6</v>
      </c>
      <c r="C37" s="11">
        <v>9</v>
      </c>
      <c r="D37" s="22">
        <f>INDEX(D$6:D$24,B37)</f>
        <v>6</v>
      </c>
      <c r="E37" s="22">
        <f>INDEX($F$6:$F$24,$C37)-INDEX($F$6:$F$24,$B37)</f>
        <v>6</v>
      </c>
      <c r="AN37" s="1">
        <f>INDEX($F$6:$F$24,$C37)-INDEX($F$6:$F$24,$B37)</f>
        <v>6</v>
      </c>
    </row>
    <row r="38" spans="1:51" x14ac:dyDescent="0.25">
      <c r="A38" s="8"/>
      <c r="B38" s="11">
        <v>4</v>
      </c>
      <c r="C38" s="11">
        <v>10</v>
      </c>
      <c r="D38" s="22">
        <f>INDEX(D$6:D$24,B38)</f>
        <v>8</v>
      </c>
      <c r="E38" s="22">
        <f>INDEX($F$6:$F$24,$C38)-INDEX($F$6:$F$24,$B38)</f>
        <v>41</v>
      </c>
      <c r="AO38" s="1">
        <f>INDEX($F$6:$F$24,$C38)-INDEX($F$6:$F$24,$B38)</f>
        <v>41</v>
      </c>
    </row>
    <row r="39" spans="1:51" x14ac:dyDescent="0.25">
      <c r="A39" s="8"/>
      <c r="B39" s="11">
        <v>6</v>
      </c>
      <c r="C39" s="11">
        <v>11</v>
      </c>
      <c r="D39" s="22">
        <f>INDEX(D$6:D$24,B39)</f>
        <v>6</v>
      </c>
      <c r="E39" s="22">
        <f>INDEX($F$6:$F$24,$C39)-INDEX($F$6:$F$24,$B39)</f>
        <v>21</v>
      </c>
      <c r="AP39" s="1">
        <f>INDEX($F$6:$F$24,$C39)-INDEX($F$6:$F$24,$B39)</f>
        <v>21</v>
      </c>
    </row>
    <row r="40" spans="1:51" x14ac:dyDescent="0.25">
      <c r="A40" s="8"/>
      <c r="B40" s="11">
        <v>9</v>
      </c>
      <c r="C40" s="11">
        <v>12</v>
      </c>
      <c r="D40" s="22">
        <f>INDEX(D$6:D$24,B40)</f>
        <v>9</v>
      </c>
      <c r="E40" s="22">
        <f>INDEX($F$6:$F$24,$C40)-INDEX($F$6:$F$24,$B40)</f>
        <v>9</v>
      </c>
      <c r="AQ40" s="1">
        <f>INDEX($F$6:$F$24,$C40)-INDEX($F$6:$F$24,$B40)</f>
        <v>9</v>
      </c>
    </row>
    <row r="41" spans="1:51" x14ac:dyDescent="0.25">
      <c r="A41" s="8"/>
      <c r="B41" s="11">
        <v>7</v>
      </c>
      <c r="C41" s="11">
        <v>13</v>
      </c>
      <c r="D41" s="22">
        <f>INDEX(D$6:D$24,B41)</f>
        <v>2</v>
      </c>
      <c r="E41" s="22">
        <f>INDEX($F$6:$F$24,$C41)-INDEX($F$6:$F$24,$B41)</f>
        <v>2</v>
      </c>
      <c r="AR41" s="1">
        <f>INDEX($F$6:$F$24,$C41)-INDEX($F$6:$F$24,$B41)</f>
        <v>2</v>
      </c>
    </row>
    <row r="42" spans="1:51" x14ac:dyDescent="0.25">
      <c r="A42" s="8"/>
      <c r="B42" s="11">
        <v>2</v>
      </c>
      <c r="C42" s="11">
        <v>14</v>
      </c>
      <c r="D42" s="22">
        <f>INDEX(D$6:D$24,B42)</f>
        <v>16</v>
      </c>
      <c r="E42" s="22">
        <f>INDEX($F$6:$F$24,$C42)-INDEX($F$6:$F$24,$B42)</f>
        <v>51</v>
      </c>
      <c r="AS42" s="1">
        <f>INDEX($F$6:$F$24,$C42)-INDEX($F$6:$F$24,$B42)</f>
        <v>51</v>
      </c>
    </row>
    <row r="43" spans="1:51" x14ac:dyDescent="0.25">
      <c r="A43" s="8"/>
      <c r="B43" s="11">
        <v>4</v>
      </c>
      <c r="C43" s="11">
        <v>15</v>
      </c>
      <c r="D43" s="22">
        <f>INDEX(D$6:D$24,B43)</f>
        <v>8</v>
      </c>
      <c r="E43" s="22">
        <f>INDEX($F$6:$F$24,$C43)-INDEX($F$6:$F$24,$B43)</f>
        <v>42</v>
      </c>
      <c r="AT43" s="1">
        <f>INDEX($F$6:$F$24,$C43)-INDEX($F$6:$F$24,$B43)</f>
        <v>42</v>
      </c>
    </row>
    <row r="44" spans="1:51" x14ac:dyDescent="0.25">
      <c r="A44" s="8"/>
      <c r="B44" s="11">
        <v>14</v>
      </c>
      <c r="C44" s="11">
        <v>15</v>
      </c>
      <c r="D44" s="22">
        <f>INDEX(D$6:D$24,B44)</f>
        <v>7</v>
      </c>
      <c r="E44" s="22">
        <f>INDEX($F$6:$F$24,$C44)-INDEX($F$6:$F$24,$B44)</f>
        <v>7</v>
      </c>
      <c r="AU44" s="1">
        <f>INDEX($F$6:$F$24,$C44)-INDEX($F$6:$F$24,$B44)</f>
        <v>7</v>
      </c>
    </row>
    <row r="45" spans="1:51" x14ac:dyDescent="0.25">
      <c r="A45" s="8"/>
      <c r="B45" s="11">
        <v>8</v>
      </c>
      <c r="C45" s="11">
        <v>16</v>
      </c>
      <c r="D45" s="22">
        <f>INDEX(D$6:D$24,B45)</f>
        <v>2</v>
      </c>
      <c r="E45" s="22">
        <f>INDEX($F$6:$F$24,$C45)-INDEX($F$6:$F$24,$B45)</f>
        <v>2</v>
      </c>
      <c r="AV45" s="1">
        <f>INDEX($F$6:$F$24,$C45)-INDEX($F$6:$F$24,$B45)</f>
        <v>2</v>
      </c>
    </row>
    <row r="46" spans="1:51" x14ac:dyDescent="0.25">
      <c r="A46" s="8"/>
      <c r="B46" s="11">
        <v>11</v>
      </c>
      <c r="C46" s="11">
        <v>16</v>
      </c>
      <c r="D46" s="22">
        <f>INDEX(D$6:D$24,B46)</f>
        <v>3</v>
      </c>
      <c r="E46" s="22">
        <f>INDEX($F$6:$F$24,$C46)-INDEX($F$6:$F$24,$B46)</f>
        <v>3</v>
      </c>
      <c r="AW46" s="1">
        <f>INDEX($F$6:$F$24,$C46)-INDEX($F$6:$F$24,$B46)</f>
        <v>3</v>
      </c>
    </row>
    <row r="47" spans="1:51" x14ac:dyDescent="0.25">
      <c r="A47" s="8"/>
      <c r="B47" s="11">
        <v>14</v>
      </c>
      <c r="C47" s="11">
        <v>16</v>
      </c>
      <c r="D47" s="22">
        <f>INDEX(D$6:D$24,B47)</f>
        <v>7</v>
      </c>
      <c r="E47" s="22">
        <f>INDEX($F$6:$F$24,$C47)-INDEX($F$6:$F$24,$B47)</f>
        <v>8</v>
      </c>
      <c r="AX47" s="1">
        <f>INDEX($F$6:$F$24,$C47)-INDEX($F$6:$F$24,$B47)</f>
        <v>8</v>
      </c>
    </row>
    <row r="48" spans="1:51" x14ac:dyDescent="0.25">
      <c r="A48" s="8"/>
      <c r="B48" s="11">
        <v>12</v>
      </c>
      <c r="C48" s="11">
        <v>17</v>
      </c>
      <c r="D48" s="22">
        <f>INDEX(D$6:D$24,B48)</f>
        <v>2</v>
      </c>
      <c r="E48" s="22">
        <f>INDEX($F$6:$F$24,$C48)-INDEX($F$6:$F$24,$B48)</f>
        <v>2</v>
      </c>
      <c r="AY48" s="1">
        <f>INDEX($F$6:$F$24,$C48)-INDEX($F$6:$F$24,$B48)</f>
        <v>2</v>
      </c>
    </row>
    <row r="49" spans="1:52" x14ac:dyDescent="0.25">
      <c r="A49" s="8"/>
      <c r="B49" s="11">
        <v>17</v>
      </c>
      <c r="C49" s="11">
        <v>18</v>
      </c>
      <c r="D49" s="22">
        <f>INDEX(D$6:D$24,B49)</f>
        <v>9</v>
      </c>
      <c r="E49" s="22">
        <f>INDEX($F$6:$F$24,$C49)-INDEX($F$6:$F$24,$B49)</f>
        <v>9</v>
      </c>
      <c r="AZ49" s="1">
        <f>INDEX($F$6:$F$24,$C49)-INDEX($F$6:$F$24,$B49)</f>
        <v>9</v>
      </c>
    </row>
    <row r="50" spans="1:52" x14ac:dyDescent="0.25">
      <c r="A50" s="8"/>
      <c r="B50" s="11">
        <v>10</v>
      </c>
      <c r="C50" s="11">
        <v>19</v>
      </c>
      <c r="D50" s="22">
        <f>INDEX(D$6:D$24,B50)</f>
        <v>5</v>
      </c>
      <c r="E50" s="22">
        <f>INDEX($F$6:$F$24,19)-INDEX($F$6:$F$24,$B50)</f>
        <v>5</v>
      </c>
    </row>
    <row r="51" spans="1:52" x14ac:dyDescent="0.25">
      <c r="A51" s="8"/>
      <c r="B51" s="11">
        <v>13</v>
      </c>
      <c r="C51" s="11">
        <v>19</v>
      </c>
      <c r="D51" s="22">
        <f>INDEX(D$6:D$24,B51)</f>
        <v>1</v>
      </c>
      <c r="E51" s="22">
        <f>INDEX($F$6:$F$24,19)-INDEX($F$6:$F$24,$B51)</f>
        <v>1</v>
      </c>
    </row>
    <row r="52" spans="1:52" x14ac:dyDescent="0.25">
      <c r="A52" s="8"/>
      <c r="B52" s="11">
        <v>15</v>
      </c>
      <c r="C52" s="11">
        <v>19</v>
      </c>
      <c r="D52" s="22">
        <f>INDEX(D$6:D$24,B52)</f>
        <v>4</v>
      </c>
      <c r="E52" s="22">
        <f>INDEX($F$6:$F$24,19)-INDEX($F$6:$F$24,$B52)</f>
        <v>4</v>
      </c>
    </row>
    <row r="53" spans="1:52" x14ac:dyDescent="0.25">
      <c r="A53" s="8"/>
      <c r="B53" s="11">
        <v>16</v>
      </c>
      <c r="C53" s="11">
        <v>19</v>
      </c>
      <c r="D53" s="22">
        <f>INDEX(D$6:D$24,B53)</f>
        <v>3</v>
      </c>
      <c r="E53" s="22">
        <f>INDEX($F$6:$F$24,19)-INDEX($F$6:$F$24,$B53)</f>
        <v>3</v>
      </c>
    </row>
    <row r="54" spans="1:52" x14ac:dyDescent="0.25">
      <c r="A54" s="8"/>
      <c r="B54" s="11">
        <v>18</v>
      </c>
      <c r="C54" s="11">
        <v>19</v>
      </c>
      <c r="D54" s="22">
        <f>INDEX(D$6:D$24,B54)</f>
        <v>1</v>
      </c>
      <c r="E54" s="22">
        <f>INDEX($F$6:$F$24,19)-INDEX($F$6:$F$24,$B54)</f>
        <v>1</v>
      </c>
    </row>
  </sheetData>
  <mergeCells count="22">
    <mergeCell ref="B17:C17"/>
    <mergeCell ref="B10:C10"/>
    <mergeCell ref="B11:C11"/>
    <mergeCell ref="E3:F3"/>
    <mergeCell ref="B5:C5"/>
    <mergeCell ref="B6:C6"/>
    <mergeCell ref="B7:C7"/>
    <mergeCell ref="B8:C8"/>
    <mergeCell ref="B9:C9"/>
    <mergeCell ref="B12:C12"/>
    <mergeCell ref="B13:C13"/>
    <mergeCell ref="B14:C14"/>
    <mergeCell ref="B15:C15"/>
    <mergeCell ref="B16:C16"/>
    <mergeCell ref="B24:C24"/>
    <mergeCell ref="B26:C26"/>
    <mergeCell ref="B19:C19"/>
    <mergeCell ref="B18:C18"/>
    <mergeCell ref="B20:C20"/>
    <mergeCell ref="B21:C21"/>
    <mergeCell ref="B22:C22"/>
    <mergeCell ref="B23:C23"/>
  </mergeCells>
  <phoneticPr fontId="0" type="noConversion"/>
  <pageMargins left="0.7" right="0.7" top="0.75" bottom="0.75" header="0.3" footer="0.3"/>
  <pageSetup paperSize="9" orientation="portrait" horizontalDpi="0" verticalDpi="0" r:id="rId1"/>
  <ignoredErrors>
    <ignoredError sqref="E20:E21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critArcsQ1">
                <anchor moveWithCells="1" sizeWithCells="1">
                  <from>
                    <xdr:col>5</xdr:col>
                    <xdr:colOff>657225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J57"/>
  <sheetViews>
    <sheetView topLeftCell="C1" workbookViewId="0">
      <selection activeCell="D30" sqref="D30:E56"/>
    </sheetView>
  </sheetViews>
  <sheetFormatPr baseColWidth="10" defaultColWidth="20.140625" defaultRowHeight="15" x14ac:dyDescent="0.25"/>
  <cols>
    <col min="1" max="1" width="8.42578125" style="1" bestFit="1" customWidth="1"/>
    <col min="2" max="3" width="17.85546875" style="1" customWidth="1"/>
    <col min="4" max="4" width="6.42578125" style="1" bestFit="1" customWidth="1"/>
    <col min="5" max="5" width="12.140625" style="1" bestFit="1" customWidth="1"/>
    <col min="6" max="6" width="10" style="1" bestFit="1" customWidth="1"/>
    <col min="7" max="7" width="19.85546875" style="1" bestFit="1" customWidth="1"/>
    <col min="8" max="9" width="7.5703125" style="1" customWidth="1"/>
    <col min="10" max="10" width="10" style="1" bestFit="1" customWidth="1"/>
    <col min="11" max="16384" width="20.140625" style="1"/>
  </cols>
  <sheetData>
    <row r="1" spans="1:10" ht="26.25" x14ac:dyDescent="0.4">
      <c r="A1" s="2" t="s">
        <v>35</v>
      </c>
    </row>
    <row r="2" spans="1:10" x14ac:dyDescent="0.25">
      <c r="A2" s="20"/>
    </row>
    <row r="3" spans="1:10" x14ac:dyDescent="0.25">
      <c r="A3" s="20"/>
      <c r="F3" s="28" t="s">
        <v>48</v>
      </c>
      <c r="G3" s="28"/>
      <c r="H3" s="15">
        <f>D5*H5-SUMPRODUCT(J8:J26,G8:G26)</f>
        <v>87</v>
      </c>
    </row>
    <row r="4" spans="1:10" x14ac:dyDescent="0.25">
      <c r="A4" s="20"/>
      <c r="B4" s="27" t="s">
        <v>45</v>
      </c>
      <c r="C4" s="27"/>
      <c r="D4" s="14">
        <v>64</v>
      </c>
      <c r="F4" s="28" t="s">
        <v>49</v>
      </c>
      <c r="G4" s="28"/>
      <c r="H4" s="13">
        <f>D4-H5</f>
        <v>57</v>
      </c>
    </row>
    <row r="5" spans="1:10" x14ac:dyDescent="0.25">
      <c r="A5" s="20"/>
      <c r="B5" s="27" t="s">
        <v>47</v>
      </c>
      <c r="C5" s="27"/>
      <c r="D5" s="14">
        <v>30</v>
      </c>
      <c r="F5" s="28" t="s">
        <v>44</v>
      </c>
      <c r="G5" s="28"/>
      <c r="H5" s="18">
        <v>7</v>
      </c>
    </row>
    <row r="7" spans="1:10" s="23" customFormat="1" ht="35.25" customHeight="1" x14ac:dyDescent="0.25">
      <c r="A7" s="4" t="s">
        <v>39</v>
      </c>
      <c r="B7" s="29" t="s">
        <v>0</v>
      </c>
      <c r="C7" s="30"/>
      <c r="D7" s="4" t="s">
        <v>41</v>
      </c>
      <c r="E7" s="4" t="s">
        <v>25</v>
      </c>
      <c r="F7" s="4" t="s">
        <v>42</v>
      </c>
      <c r="G7" s="6" t="s">
        <v>46</v>
      </c>
      <c r="H7" s="4" t="s">
        <v>37</v>
      </c>
      <c r="I7" s="4" t="s">
        <v>38</v>
      </c>
      <c r="J7" s="4" t="s">
        <v>43</v>
      </c>
    </row>
    <row r="8" spans="1:10" x14ac:dyDescent="0.25">
      <c r="A8" s="5">
        <v>1</v>
      </c>
      <c r="B8" s="25" t="s">
        <v>2</v>
      </c>
      <c r="C8" s="26"/>
      <c r="D8" s="5">
        <v>2</v>
      </c>
      <c r="E8" s="5" t="s">
        <v>3</v>
      </c>
      <c r="F8" s="5">
        <v>0</v>
      </c>
      <c r="G8" s="7">
        <v>0</v>
      </c>
      <c r="H8" s="17">
        <v>0</v>
      </c>
      <c r="I8" s="16">
        <f t="shared" ref="I8:I26" si="0">H8+D8</f>
        <v>2</v>
      </c>
      <c r="J8" s="24">
        <v>0</v>
      </c>
    </row>
    <row r="9" spans="1:10" x14ac:dyDescent="0.25">
      <c r="A9" s="5">
        <v>2</v>
      </c>
      <c r="B9" s="25" t="s">
        <v>4</v>
      </c>
      <c r="C9" s="26"/>
      <c r="D9" s="5">
        <v>16</v>
      </c>
      <c r="E9" s="5">
        <v>1</v>
      </c>
      <c r="F9" s="5">
        <v>3</v>
      </c>
      <c r="G9" s="7">
        <v>30</v>
      </c>
      <c r="H9" s="17">
        <v>2</v>
      </c>
      <c r="I9" s="16">
        <f t="shared" si="0"/>
        <v>18</v>
      </c>
      <c r="J9" s="24">
        <v>0</v>
      </c>
    </row>
    <row r="10" spans="1:10" x14ac:dyDescent="0.25">
      <c r="A10" s="5">
        <v>3</v>
      </c>
      <c r="B10" s="25" t="s">
        <v>5</v>
      </c>
      <c r="C10" s="26"/>
      <c r="D10" s="5">
        <v>9</v>
      </c>
      <c r="E10" s="5">
        <v>2</v>
      </c>
      <c r="F10" s="5">
        <v>1</v>
      </c>
      <c r="G10" s="7">
        <v>26</v>
      </c>
      <c r="H10" s="17">
        <v>18</v>
      </c>
      <c r="I10" s="16">
        <f t="shared" si="0"/>
        <v>27</v>
      </c>
      <c r="J10" s="24">
        <v>1</v>
      </c>
    </row>
    <row r="11" spans="1:10" x14ac:dyDescent="0.25">
      <c r="A11" s="5">
        <v>4</v>
      </c>
      <c r="B11" s="25" t="s">
        <v>6</v>
      </c>
      <c r="C11" s="26"/>
      <c r="D11" s="5">
        <v>8</v>
      </c>
      <c r="E11" s="5">
        <v>2</v>
      </c>
      <c r="F11" s="5">
        <v>2</v>
      </c>
      <c r="G11" s="7">
        <v>12</v>
      </c>
      <c r="H11" s="17">
        <v>18</v>
      </c>
      <c r="I11" s="16">
        <f t="shared" si="0"/>
        <v>26</v>
      </c>
      <c r="J11" s="24">
        <v>0</v>
      </c>
    </row>
    <row r="12" spans="1:10" x14ac:dyDescent="0.25">
      <c r="A12" s="5">
        <v>5</v>
      </c>
      <c r="B12" s="25" t="s">
        <v>7</v>
      </c>
      <c r="C12" s="26"/>
      <c r="D12" s="5">
        <v>10</v>
      </c>
      <c r="E12" s="5">
        <v>3</v>
      </c>
      <c r="F12" s="5">
        <v>2</v>
      </c>
      <c r="G12" s="7">
        <v>17</v>
      </c>
      <c r="H12" s="17">
        <v>26</v>
      </c>
      <c r="I12" s="16">
        <f t="shared" si="0"/>
        <v>36</v>
      </c>
      <c r="J12" s="24">
        <v>2</v>
      </c>
    </row>
    <row r="13" spans="1:10" x14ac:dyDescent="0.25">
      <c r="A13" s="5">
        <v>6</v>
      </c>
      <c r="B13" s="25" t="s">
        <v>8</v>
      </c>
      <c r="C13" s="26"/>
      <c r="D13" s="5">
        <v>6</v>
      </c>
      <c r="E13" s="5" t="s">
        <v>9</v>
      </c>
      <c r="F13" s="5">
        <v>1</v>
      </c>
      <c r="G13" s="7">
        <v>15</v>
      </c>
      <c r="H13" s="17">
        <v>34</v>
      </c>
      <c r="I13" s="16">
        <f t="shared" si="0"/>
        <v>40</v>
      </c>
      <c r="J13" s="24">
        <v>1</v>
      </c>
    </row>
    <row r="14" spans="1:10" x14ac:dyDescent="0.25">
      <c r="A14" s="5">
        <v>7</v>
      </c>
      <c r="B14" s="25" t="s">
        <v>10</v>
      </c>
      <c r="C14" s="26"/>
      <c r="D14" s="5">
        <v>2</v>
      </c>
      <c r="E14" s="5">
        <v>4</v>
      </c>
      <c r="F14" s="5">
        <v>1</v>
      </c>
      <c r="G14" s="7">
        <v>8</v>
      </c>
      <c r="H14" s="17">
        <v>54</v>
      </c>
      <c r="I14" s="16">
        <f t="shared" si="0"/>
        <v>56</v>
      </c>
      <c r="J14" s="24">
        <v>0</v>
      </c>
    </row>
    <row r="15" spans="1:10" x14ac:dyDescent="0.25">
      <c r="A15" s="5">
        <v>8</v>
      </c>
      <c r="B15" s="25" t="s">
        <v>11</v>
      </c>
      <c r="C15" s="26"/>
      <c r="D15" s="5">
        <v>2</v>
      </c>
      <c r="E15" s="5">
        <v>6</v>
      </c>
      <c r="F15" s="5">
        <v>0</v>
      </c>
      <c r="G15" s="7">
        <v>0</v>
      </c>
      <c r="H15" s="17">
        <v>52</v>
      </c>
      <c r="I15" s="16">
        <f t="shared" si="0"/>
        <v>54</v>
      </c>
      <c r="J15" s="24">
        <v>0</v>
      </c>
    </row>
    <row r="16" spans="1:10" x14ac:dyDescent="0.25">
      <c r="A16" s="5">
        <v>9</v>
      </c>
      <c r="B16" s="25" t="s">
        <v>12</v>
      </c>
      <c r="C16" s="26"/>
      <c r="D16" s="5">
        <v>9</v>
      </c>
      <c r="E16" s="5" t="s">
        <v>13</v>
      </c>
      <c r="F16" s="5">
        <v>2</v>
      </c>
      <c r="G16" s="7">
        <v>42</v>
      </c>
      <c r="H16" s="17">
        <v>39</v>
      </c>
      <c r="I16" s="16">
        <f t="shared" si="0"/>
        <v>48</v>
      </c>
      <c r="J16" s="24">
        <v>0</v>
      </c>
    </row>
    <row r="17" spans="1:10" x14ac:dyDescent="0.25">
      <c r="A17" s="5">
        <v>10</v>
      </c>
      <c r="B17" s="25" t="s">
        <v>14</v>
      </c>
      <c r="C17" s="26"/>
      <c r="D17" s="5">
        <v>5</v>
      </c>
      <c r="E17" s="5">
        <v>4</v>
      </c>
      <c r="F17" s="5">
        <v>1</v>
      </c>
      <c r="G17" s="7">
        <v>21</v>
      </c>
      <c r="H17" s="17">
        <v>52</v>
      </c>
      <c r="I17" s="16">
        <f t="shared" si="0"/>
        <v>57</v>
      </c>
      <c r="J17" s="24">
        <v>0</v>
      </c>
    </row>
    <row r="18" spans="1:10" x14ac:dyDescent="0.25">
      <c r="A18" s="5">
        <v>11</v>
      </c>
      <c r="B18" s="25" t="s">
        <v>15</v>
      </c>
      <c r="C18" s="26"/>
      <c r="D18" s="5">
        <v>3</v>
      </c>
      <c r="E18" s="5">
        <v>6</v>
      </c>
      <c r="F18" s="5">
        <v>1</v>
      </c>
      <c r="G18" s="7">
        <v>18</v>
      </c>
      <c r="H18" s="17">
        <v>51</v>
      </c>
      <c r="I18" s="16">
        <f t="shared" si="0"/>
        <v>54</v>
      </c>
      <c r="J18" s="24">
        <v>0</v>
      </c>
    </row>
    <row r="19" spans="1:10" x14ac:dyDescent="0.25">
      <c r="A19" s="5">
        <v>12</v>
      </c>
      <c r="B19" s="25" t="s">
        <v>16</v>
      </c>
      <c r="C19" s="26"/>
      <c r="D19" s="5">
        <v>2</v>
      </c>
      <c r="E19" s="5">
        <v>9</v>
      </c>
      <c r="F19" s="5">
        <v>0</v>
      </c>
      <c r="G19" s="7">
        <v>0</v>
      </c>
      <c r="H19" s="17">
        <v>48</v>
      </c>
      <c r="I19" s="16">
        <f t="shared" si="0"/>
        <v>50</v>
      </c>
      <c r="J19" s="24">
        <v>0</v>
      </c>
    </row>
    <row r="20" spans="1:10" x14ac:dyDescent="0.25">
      <c r="A20" s="5">
        <v>13</v>
      </c>
      <c r="B20" s="25" t="s">
        <v>17</v>
      </c>
      <c r="C20" s="26"/>
      <c r="D20" s="5">
        <v>1</v>
      </c>
      <c r="E20" s="5">
        <v>7</v>
      </c>
      <c r="F20" s="5">
        <v>0</v>
      </c>
      <c r="G20" s="7">
        <v>0</v>
      </c>
      <c r="H20" s="17">
        <v>56</v>
      </c>
      <c r="I20" s="16">
        <f t="shared" si="0"/>
        <v>57</v>
      </c>
      <c r="J20" s="24">
        <v>0</v>
      </c>
    </row>
    <row r="21" spans="1:10" x14ac:dyDescent="0.25">
      <c r="A21" s="5">
        <v>14</v>
      </c>
      <c r="B21" s="25" t="s">
        <v>18</v>
      </c>
      <c r="C21" s="26"/>
      <c r="D21" s="5">
        <v>7</v>
      </c>
      <c r="E21" s="5">
        <v>2</v>
      </c>
      <c r="F21" s="5">
        <v>2</v>
      </c>
      <c r="G21" s="7">
        <v>22</v>
      </c>
      <c r="H21" s="17">
        <v>46</v>
      </c>
      <c r="I21" s="16">
        <f t="shared" si="0"/>
        <v>53</v>
      </c>
      <c r="J21" s="24">
        <v>0</v>
      </c>
    </row>
    <row r="22" spans="1:10" x14ac:dyDescent="0.25">
      <c r="A22" s="5">
        <v>15</v>
      </c>
      <c r="B22" s="25" t="s">
        <v>19</v>
      </c>
      <c r="C22" s="26"/>
      <c r="D22" s="5">
        <v>4</v>
      </c>
      <c r="E22" s="5" t="s">
        <v>20</v>
      </c>
      <c r="F22" s="5">
        <v>2</v>
      </c>
      <c r="G22" s="7">
        <v>12</v>
      </c>
      <c r="H22" s="17">
        <v>53</v>
      </c>
      <c r="I22" s="16">
        <f t="shared" si="0"/>
        <v>57</v>
      </c>
      <c r="J22" s="24">
        <v>0</v>
      </c>
    </row>
    <row r="23" spans="1:10" x14ac:dyDescent="0.25">
      <c r="A23" s="5">
        <v>16</v>
      </c>
      <c r="B23" s="25" t="s">
        <v>21</v>
      </c>
      <c r="C23" s="26"/>
      <c r="D23" s="5">
        <v>3</v>
      </c>
      <c r="E23" s="5" t="s">
        <v>22</v>
      </c>
      <c r="F23" s="5">
        <v>1</v>
      </c>
      <c r="G23" s="7">
        <v>6</v>
      </c>
      <c r="H23" s="17">
        <v>54</v>
      </c>
      <c r="I23" s="16">
        <f t="shared" si="0"/>
        <v>57</v>
      </c>
      <c r="J23" s="24">
        <v>0</v>
      </c>
    </row>
    <row r="24" spans="1:10" x14ac:dyDescent="0.25">
      <c r="A24" s="5">
        <v>17</v>
      </c>
      <c r="B24" s="25" t="s">
        <v>23</v>
      </c>
      <c r="C24" s="26"/>
      <c r="D24" s="5">
        <v>9</v>
      </c>
      <c r="E24" s="5">
        <v>12</v>
      </c>
      <c r="F24" s="5">
        <v>3</v>
      </c>
      <c r="G24" s="7">
        <v>16</v>
      </c>
      <c r="H24" s="17">
        <v>50</v>
      </c>
      <c r="I24" s="16">
        <f t="shared" si="0"/>
        <v>59</v>
      </c>
      <c r="J24" s="24">
        <v>3</v>
      </c>
    </row>
    <row r="25" spans="1:10" x14ac:dyDescent="0.25">
      <c r="A25" s="5">
        <v>18</v>
      </c>
      <c r="B25" s="25" t="s">
        <v>24</v>
      </c>
      <c r="C25" s="26"/>
      <c r="D25" s="5">
        <v>1</v>
      </c>
      <c r="E25" s="5">
        <v>17</v>
      </c>
      <c r="F25" s="5">
        <v>0</v>
      </c>
      <c r="G25" s="7">
        <v>0</v>
      </c>
      <c r="H25" s="17">
        <v>56</v>
      </c>
      <c r="I25" s="16">
        <f t="shared" si="0"/>
        <v>57</v>
      </c>
      <c r="J25" s="24">
        <v>0</v>
      </c>
    </row>
    <row r="26" spans="1:10" x14ac:dyDescent="0.25">
      <c r="A26" s="5">
        <v>19</v>
      </c>
      <c r="B26" s="25" t="s">
        <v>26</v>
      </c>
      <c r="C26" s="26"/>
      <c r="D26" s="5">
        <v>0</v>
      </c>
      <c r="E26" s="5" t="s">
        <v>27</v>
      </c>
      <c r="F26" s="5">
        <v>0</v>
      </c>
      <c r="G26" s="7">
        <v>0</v>
      </c>
      <c r="H26" s="17">
        <v>57</v>
      </c>
      <c r="I26" s="16">
        <f t="shared" si="0"/>
        <v>57</v>
      </c>
      <c r="J26" s="24">
        <v>0</v>
      </c>
    </row>
    <row r="27" spans="1:10" x14ac:dyDescent="0.25">
      <c r="A27" s="8"/>
      <c r="B27" s="8"/>
      <c r="C27" s="8"/>
      <c r="D27" s="8"/>
      <c r="E27" s="8"/>
      <c r="F27" s="8"/>
      <c r="G27" s="8"/>
    </row>
    <row r="28" spans="1:10" x14ac:dyDescent="0.25">
      <c r="A28" s="8"/>
      <c r="B28" s="27" t="s">
        <v>32</v>
      </c>
      <c r="C28" s="27"/>
      <c r="D28" s="8"/>
      <c r="E28" s="8"/>
    </row>
    <row r="29" spans="1:10" x14ac:dyDescent="0.25">
      <c r="A29" s="8"/>
      <c r="B29" s="10" t="s">
        <v>29</v>
      </c>
      <c r="C29" s="10" t="s">
        <v>30</v>
      </c>
      <c r="D29" s="9" t="s">
        <v>1</v>
      </c>
      <c r="E29" s="10" t="s">
        <v>33</v>
      </c>
    </row>
    <row r="30" spans="1:10" x14ac:dyDescent="0.25">
      <c r="A30" s="8"/>
      <c r="B30" s="11">
        <v>1</v>
      </c>
      <c r="C30" s="11">
        <v>2</v>
      </c>
      <c r="D30" s="12">
        <f>INDEX(D$8:D$26,B30)</f>
        <v>2</v>
      </c>
      <c r="E30" s="12">
        <f>INDEX($H$8:$H$26,$C30)-INDEX($H$8:$H$26,$B30)+INDEX($J$8:$J$26,$B30)</f>
        <v>2</v>
      </c>
    </row>
    <row r="31" spans="1:10" x14ac:dyDescent="0.25">
      <c r="A31" s="8"/>
      <c r="B31" s="11">
        <v>2</v>
      </c>
      <c r="C31" s="11">
        <v>3</v>
      </c>
      <c r="D31" s="12">
        <f>INDEX(D$8:D$26,B31)</f>
        <v>16</v>
      </c>
      <c r="E31" s="12">
        <f>INDEX($H$8:$H$26,$C31)-INDEX($H$8:$H$26,$B31)+INDEX($J$8:$J$26,$B31)</f>
        <v>16</v>
      </c>
    </row>
    <row r="32" spans="1:10" x14ac:dyDescent="0.25">
      <c r="A32" s="8"/>
      <c r="B32" s="11">
        <v>2</v>
      </c>
      <c r="C32" s="11">
        <v>4</v>
      </c>
      <c r="D32" s="12">
        <f>INDEX(D$8:D$26,B32)</f>
        <v>16</v>
      </c>
      <c r="E32" s="12">
        <f>INDEX($H$8:$H$26,$C32)-INDEX($H$8:$H$26,$B32)+INDEX($J$8:$J$26,$B32)</f>
        <v>16</v>
      </c>
    </row>
    <row r="33" spans="1:5" x14ac:dyDescent="0.25">
      <c r="A33" s="8"/>
      <c r="B33" s="11">
        <v>3</v>
      </c>
      <c r="C33" s="11">
        <v>5</v>
      </c>
      <c r="D33" s="12">
        <f>INDEX(D$8:D$26,B33)</f>
        <v>9</v>
      </c>
      <c r="E33" s="12">
        <f>INDEX($H$8:$H$26,$C33)-INDEX($H$8:$H$26,$B33)+INDEX($J$8:$J$26,$B33)</f>
        <v>9</v>
      </c>
    </row>
    <row r="34" spans="1:5" x14ac:dyDescent="0.25">
      <c r="A34" s="8"/>
      <c r="B34" s="11">
        <v>4</v>
      </c>
      <c r="C34" s="11">
        <v>6</v>
      </c>
      <c r="D34" s="12">
        <f>INDEX(D$8:D$26,B34)</f>
        <v>8</v>
      </c>
      <c r="E34" s="12">
        <f>INDEX($H$8:$H$26,$C34)-INDEX($H$8:$H$26,$B34)+INDEX($J$8:$J$26,$B34)</f>
        <v>16</v>
      </c>
    </row>
    <row r="35" spans="1:5" x14ac:dyDescent="0.25">
      <c r="A35" s="8"/>
      <c r="B35" s="11">
        <v>5</v>
      </c>
      <c r="C35" s="11">
        <v>6</v>
      </c>
      <c r="D35" s="12">
        <f>INDEX(D$8:D$26,B35)</f>
        <v>10</v>
      </c>
      <c r="E35" s="12">
        <f>INDEX($H$8:$H$26,$C35)-INDEX($H$8:$H$26,$B35)+INDEX($J$8:$J$26,$B35)</f>
        <v>10</v>
      </c>
    </row>
    <row r="36" spans="1:5" x14ac:dyDescent="0.25">
      <c r="A36" s="8"/>
      <c r="B36" s="11">
        <v>4</v>
      </c>
      <c r="C36" s="11">
        <v>7</v>
      </c>
      <c r="D36" s="12">
        <f>INDEX(D$8:D$26,B36)</f>
        <v>8</v>
      </c>
      <c r="E36" s="12">
        <f>INDEX($H$8:$H$26,$C36)-INDEX($H$8:$H$26,$B36)+INDEX($J$8:$J$26,$B36)</f>
        <v>36</v>
      </c>
    </row>
    <row r="37" spans="1:5" x14ac:dyDescent="0.25">
      <c r="A37" s="8"/>
      <c r="B37" s="11">
        <v>6</v>
      </c>
      <c r="C37" s="11">
        <v>8</v>
      </c>
      <c r="D37" s="12">
        <f>INDEX(D$8:D$26,B37)</f>
        <v>6</v>
      </c>
      <c r="E37" s="12">
        <f>INDEX($H$8:$H$26,$C37)-INDEX($H$8:$H$26,$B37)+INDEX($J$8:$J$26,$B37)</f>
        <v>19</v>
      </c>
    </row>
    <row r="38" spans="1:5" x14ac:dyDescent="0.25">
      <c r="A38" s="8"/>
      <c r="B38" s="11">
        <v>4</v>
      </c>
      <c r="C38" s="11">
        <v>9</v>
      </c>
      <c r="D38" s="12">
        <f>INDEX(D$8:D$26,B38)</f>
        <v>8</v>
      </c>
      <c r="E38" s="12">
        <f>INDEX($H$8:$H$26,$C38)-INDEX($H$8:$H$26,$B38)+INDEX($J$8:$J$26,$B38)</f>
        <v>21</v>
      </c>
    </row>
    <row r="39" spans="1:5" x14ac:dyDescent="0.25">
      <c r="A39" s="8"/>
      <c r="B39" s="11">
        <v>6</v>
      </c>
      <c r="C39" s="11">
        <v>9</v>
      </c>
      <c r="D39" s="12">
        <f>INDEX(D$8:D$26,B39)</f>
        <v>6</v>
      </c>
      <c r="E39" s="12">
        <f>INDEX($H$8:$H$26,$C39)-INDEX($H$8:$H$26,$B39)+INDEX($J$8:$J$26,$B39)</f>
        <v>6</v>
      </c>
    </row>
    <row r="40" spans="1:5" x14ac:dyDescent="0.25">
      <c r="A40" s="8"/>
      <c r="B40" s="11">
        <v>4</v>
      </c>
      <c r="C40" s="11">
        <v>10</v>
      </c>
      <c r="D40" s="12">
        <f>INDEX(D$8:D$26,B40)</f>
        <v>8</v>
      </c>
      <c r="E40" s="12">
        <f>INDEX($H$8:$H$26,$C40)-INDEX($H$8:$H$26,$B40)+INDEX($J$8:$J$26,$B40)</f>
        <v>34</v>
      </c>
    </row>
    <row r="41" spans="1:5" x14ac:dyDescent="0.25">
      <c r="A41" s="8"/>
      <c r="B41" s="11">
        <v>6</v>
      </c>
      <c r="C41" s="11">
        <v>11</v>
      </c>
      <c r="D41" s="12">
        <f>INDEX(D$8:D$26,B41)</f>
        <v>6</v>
      </c>
      <c r="E41" s="12">
        <f>INDEX($H$8:$H$26,$C41)-INDEX($H$8:$H$26,$B41)+INDEX($J$8:$J$26,$B41)</f>
        <v>18</v>
      </c>
    </row>
    <row r="42" spans="1:5" x14ac:dyDescent="0.25">
      <c r="A42" s="8"/>
      <c r="B42" s="11">
        <v>9</v>
      </c>
      <c r="C42" s="11">
        <v>12</v>
      </c>
      <c r="D42" s="12">
        <f>INDEX(D$8:D$26,B42)</f>
        <v>9</v>
      </c>
      <c r="E42" s="12">
        <f>INDEX($H$8:$H$26,$C42)-INDEX($H$8:$H$26,$B42)+INDEX($J$8:$J$26,$B42)</f>
        <v>9</v>
      </c>
    </row>
    <row r="43" spans="1:5" x14ac:dyDescent="0.25">
      <c r="A43" s="8"/>
      <c r="B43" s="11">
        <v>7</v>
      </c>
      <c r="C43" s="11">
        <v>13</v>
      </c>
      <c r="D43" s="12">
        <f>INDEX(D$8:D$26,B43)</f>
        <v>2</v>
      </c>
      <c r="E43" s="12">
        <f>INDEX($H$8:$H$26,$C43)-INDEX($H$8:$H$26,$B43)+INDEX($J$8:$J$26,$B43)</f>
        <v>2</v>
      </c>
    </row>
    <row r="44" spans="1:5" x14ac:dyDescent="0.25">
      <c r="A44" s="8"/>
      <c r="B44" s="11">
        <v>2</v>
      </c>
      <c r="C44" s="11">
        <v>14</v>
      </c>
      <c r="D44" s="12">
        <f>INDEX(D$8:D$26,B44)</f>
        <v>16</v>
      </c>
      <c r="E44" s="12">
        <f>INDEX($H$8:$H$26,$C44)-INDEX($H$8:$H$26,$B44)+INDEX($J$8:$J$26,$B44)</f>
        <v>44</v>
      </c>
    </row>
    <row r="45" spans="1:5" x14ac:dyDescent="0.25">
      <c r="A45" s="8"/>
      <c r="B45" s="11">
        <v>4</v>
      </c>
      <c r="C45" s="11">
        <v>15</v>
      </c>
      <c r="D45" s="12">
        <f>INDEX(D$8:D$26,B45)</f>
        <v>8</v>
      </c>
      <c r="E45" s="12">
        <f>INDEX($H$8:$H$26,$C45)-INDEX($H$8:$H$26,$B45)+INDEX($J$8:$J$26,$B45)</f>
        <v>35</v>
      </c>
    </row>
    <row r="46" spans="1:5" x14ac:dyDescent="0.25">
      <c r="A46" s="8"/>
      <c r="B46" s="11">
        <v>14</v>
      </c>
      <c r="C46" s="11">
        <v>15</v>
      </c>
      <c r="D46" s="12">
        <f>INDEX(D$8:D$26,B46)</f>
        <v>7</v>
      </c>
      <c r="E46" s="12">
        <f>INDEX($H$8:$H$26,$C46)-INDEX($H$8:$H$26,$B46)+INDEX($J$8:$J$26,$B46)</f>
        <v>7</v>
      </c>
    </row>
    <row r="47" spans="1:5" x14ac:dyDescent="0.25">
      <c r="A47" s="8"/>
      <c r="B47" s="11">
        <v>8</v>
      </c>
      <c r="C47" s="11">
        <v>16</v>
      </c>
      <c r="D47" s="12">
        <f>INDEX(D$8:D$26,B47)</f>
        <v>2</v>
      </c>
      <c r="E47" s="12">
        <f>INDEX($H$8:$H$26,$C47)-INDEX($H$8:$H$26,$B47)+INDEX($J$8:$J$26,$B47)</f>
        <v>2</v>
      </c>
    </row>
    <row r="48" spans="1:5" x14ac:dyDescent="0.25">
      <c r="A48" s="8"/>
      <c r="B48" s="11">
        <v>11</v>
      </c>
      <c r="C48" s="11">
        <v>16</v>
      </c>
      <c r="D48" s="12">
        <f>INDEX(D$8:D$26,B48)</f>
        <v>3</v>
      </c>
      <c r="E48" s="12">
        <f>INDEX($H$8:$H$26,$C48)-INDEX($H$8:$H$26,$B48)+INDEX($J$8:$J$26,$B48)</f>
        <v>3</v>
      </c>
    </row>
    <row r="49" spans="1:5" x14ac:dyDescent="0.25">
      <c r="A49" s="8"/>
      <c r="B49" s="11">
        <v>14</v>
      </c>
      <c r="C49" s="11">
        <v>16</v>
      </c>
      <c r="D49" s="12">
        <f>INDEX(D$8:D$26,B49)</f>
        <v>7</v>
      </c>
      <c r="E49" s="12">
        <f>INDEX($H$8:$H$26,$C49)-INDEX($H$8:$H$26,$B49)+INDEX($J$8:$J$26,$B49)</f>
        <v>8</v>
      </c>
    </row>
    <row r="50" spans="1:5" x14ac:dyDescent="0.25">
      <c r="A50" s="8"/>
      <c r="B50" s="11">
        <v>12</v>
      </c>
      <c r="C50" s="11">
        <v>17</v>
      </c>
      <c r="D50" s="12">
        <f>INDEX(D$8:D$26,B50)</f>
        <v>2</v>
      </c>
      <c r="E50" s="12">
        <f>INDEX($H$8:$H$26,$C50)-INDEX($H$8:$H$26,$B50)+INDEX($J$8:$J$26,$B50)</f>
        <v>2</v>
      </c>
    </row>
    <row r="51" spans="1:5" x14ac:dyDescent="0.25">
      <c r="A51" s="8"/>
      <c r="B51" s="11">
        <v>17</v>
      </c>
      <c r="C51" s="11">
        <v>18</v>
      </c>
      <c r="D51" s="12">
        <f>INDEX(D$8:D$26,B51)</f>
        <v>9</v>
      </c>
      <c r="E51" s="12">
        <f>INDEX($H$8:$H$26,$C51)-INDEX($H$8:$H$26,$B51)+INDEX($J$8:$J$26,$B51)</f>
        <v>9</v>
      </c>
    </row>
    <row r="52" spans="1:5" x14ac:dyDescent="0.25">
      <c r="A52" s="8"/>
      <c r="B52" s="11">
        <v>10</v>
      </c>
      <c r="C52" s="11">
        <v>19</v>
      </c>
      <c r="D52" s="12">
        <f>INDEX(D$8:D$26,B52)</f>
        <v>5</v>
      </c>
      <c r="E52" s="12">
        <f>INDEX($H$8:$H$26,19)-INDEX($H$8:$H$26,$B52)-INDEX($J$8:$J$26,$B52)</f>
        <v>5</v>
      </c>
    </row>
    <row r="53" spans="1:5" x14ac:dyDescent="0.25">
      <c r="A53" s="8"/>
      <c r="B53" s="11">
        <v>13</v>
      </c>
      <c r="C53" s="11">
        <v>19</v>
      </c>
      <c r="D53" s="12">
        <f>INDEX(D$8:D$26,B53)</f>
        <v>1</v>
      </c>
      <c r="E53" s="12">
        <f>INDEX($H$8:$H$26,19)-INDEX($H$8:$H$26,$B53)-INDEX($J$8:$J$26,$B53)</f>
        <v>1</v>
      </c>
    </row>
    <row r="54" spans="1:5" x14ac:dyDescent="0.25">
      <c r="A54" s="8"/>
      <c r="B54" s="11">
        <v>15</v>
      </c>
      <c r="C54" s="11">
        <v>19</v>
      </c>
      <c r="D54" s="12">
        <f>INDEX(D$8:D$26,B54)</f>
        <v>4</v>
      </c>
      <c r="E54" s="12">
        <f>INDEX($H$8:$H$26,19)-INDEX($H$8:$H$26,$B54)-INDEX($J$8:$J$26,$B54)</f>
        <v>4</v>
      </c>
    </row>
    <row r="55" spans="1:5" x14ac:dyDescent="0.25">
      <c r="A55" s="8"/>
      <c r="B55" s="11">
        <v>16</v>
      </c>
      <c r="C55" s="11">
        <v>19</v>
      </c>
      <c r="D55" s="12">
        <f>INDEX(D$8:D$26,B55)</f>
        <v>3</v>
      </c>
      <c r="E55" s="12">
        <f>INDEX($H$8:$H$26,19)-INDEX($H$8:$H$26,$B55)-INDEX($J$8:$J$26,$B55)</f>
        <v>3</v>
      </c>
    </row>
    <row r="56" spans="1:5" x14ac:dyDescent="0.25">
      <c r="A56" s="8"/>
      <c r="B56" s="11">
        <v>18</v>
      </c>
      <c r="C56" s="11">
        <v>19</v>
      </c>
      <c r="D56" s="12">
        <f>INDEX(D$8:D$26,B56)</f>
        <v>1</v>
      </c>
      <c r="E56" s="12">
        <f>INDEX($H$8:$H$26,19)-INDEX($H$8:$H$26,$B56)-INDEX($J$8:$J$26,$B56)</f>
        <v>1</v>
      </c>
    </row>
    <row r="57" spans="1:5" x14ac:dyDescent="0.25">
      <c r="A57" s="8"/>
      <c r="B57" s="8"/>
      <c r="C57" s="8"/>
      <c r="D57" s="8"/>
      <c r="E57" s="8"/>
    </row>
  </sheetData>
  <mergeCells count="26">
    <mergeCell ref="B15:C15"/>
    <mergeCell ref="B16:C16"/>
    <mergeCell ref="B17:C17"/>
    <mergeCell ref="F4:G4"/>
    <mergeCell ref="B7:C7"/>
    <mergeCell ref="B8:C8"/>
    <mergeCell ref="B9:C9"/>
    <mergeCell ref="B10:C10"/>
    <mergeCell ref="B11:C11"/>
    <mergeCell ref="F5:G5"/>
    <mergeCell ref="F3:G3"/>
    <mergeCell ref="B24:C24"/>
    <mergeCell ref="B25:C25"/>
    <mergeCell ref="B26:C26"/>
    <mergeCell ref="B28:C28"/>
    <mergeCell ref="B4:C4"/>
    <mergeCell ref="B5:C5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</mergeCells>
  <pageMargins left="0.7" right="0.7" top="0.75" bottom="0.75" header="0.3" footer="0.3"/>
  <pageSetup paperSize="9" orientation="portrait" horizontalDpi="0" verticalDpi="0" r:id="rId1"/>
  <ignoredErrors>
    <ignoredError sqref="E22:E23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critArcsQ2">
                <anchor moveWithCells="1" sizeWithCells="1">
                  <from>
                    <xdr:col>5</xdr:col>
                    <xdr:colOff>657225</xdr:colOff>
                    <xdr:row>27</xdr:row>
                    <xdr:rowOff>9525</xdr:rowOff>
                  </from>
                  <to>
                    <xdr:col>6</xdr:col>
                    <xdr:colOff>1314450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Question 1</vt:lpstr>
      <vt:lpstr>Question 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sevaux</dc:creator>
  <cp:lastModifiedBy>marc</cp:lastModifiedBy>
  <dcterms:created xsi:type="dcterms:W3CDTF">2010-01-06T08:51:21Z</dcterms:created>
  <dcterms:modified xsi:type="dcterms:W3CDTF">2010-11-15T13:55:03Z</dcterms:modified>
</cp:coreProperties>
</file>