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6540" windowHeight="2985" activeTab="1"/>
  </bookViews>
  <sheets>
    <sheet name="JobShop (non générique)" sheetId="1" r:id="rId1"/>
    <sheet name="JobShop (générique)" sheetId="2" r:id="rId2"/>
  </sheets>
  <definedNames>
    <definedName name="solver_adj" localSheetId="1" hidden="1">'JobShop (générique)'!$D$6:$D$14,'JobShop (générique)'!$C$28:$C$32,'JobShop (générique)'!$C$3</definedName>
    <definedName name="solver_adj" localSheetId="0" hidden="1">'JobShop (non générique)'!$C$11:$E$13,'JobShop (non générique)'!$H$18:$H$22,'JobShop (non générique)'!$I$3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2</definedName>
    <definedName name="solver_eng" localSheetId="0" hidden="1">2</definedName>
    <definedName name="solver_est" localSheetId="1" hidden="1">1</definedName>
    <definedName name="solver_est" localSheetId="0" hidden="1">1</definedName>
    <definedName name="solver_itr" localSheetId="1" hidden="1">100</definedName>
    <definedName name="solver_itr" localSheetId="0" hidden="1">100</definedName>
    <definedName name="solver_lhs1" localSheetId="1" hidden="1">'JobShop (générique)'!$C$20:$C$23</definedName>
    <definedName name="solver_lhs1" localSheetId="0" hidden="1">'JobShop (non générique)'!$D$18</definedName>
    <definedName name="solver_lhs10" localSheetId="0" hidden="1">'JobShop (non générique)'!#REF!</definedName>
    <definedName name="solver_lhs11" localSheetId="0" hidden="1">'JobShop (non générique)'!#REF!</definedName>
    <definedName name="solver_lhs12" localSheetId="0" hidden="1">'JobShop (non générique)'!#REF!</definedName>
    <definedName name="solver_lhs13" localSheetId="0" hidden="1">'JobShop (non générique)'!#REF!</definedName>
    <definedName name="solver_lhs14" localSheetId="0" hidden="1">'JobShop (non générique)'!#REF!</definedName>
    <definedName name="solver_lhs15" localSheetId="0" hidden="1">'JobShop (non générique)'!#REF!</definedName>
    <definedName name="solver_lhs16" localSheetId="0" hidden="1">'JobShop (non générique)'!#REF!</definedName>
    <definedName name="solver_lhs17" localSheetId="0" hidden="1">'JobShop (non générique)'!#REF!</definedName>
    <definedName name="solver_lhs18" localSheetId="0" hidden="1">'JobShop (non générique)'!#REF!</definedName>
    <definedName name="solver_lhs19" localSheetId="0" hidden="1">'JobShop (non générique)'!#REF!</definedName>
    <definedName name="solver_lhs2" localSheetId="1" hidden="1">'JobShop (générique)'!$D$28:$D$32</definedName>
    <definedName name="solver_lhs2" localSheetId="0" hidden="1">'JobShop (non générique)'!$D$17</definedName>
    <definedName name="solver_lhs20" localSheetId="0" hidden="1">'JobShop (non générique)'!#REF!</definedName>
    <definedName name="solver_lhs21" localSheetId="0" hidden="1">'JobShop (non générique)'!#REF!</definedName>
    <definedName name="solver_lhs22" localSheetId="0" hidden="1">'JobShop (non générique)'!#REF!</definedName>
    <definedName name="solver_lhs23" localSheetId="0" hidden="1">'JobShop (non générique)'!#REF!</definedName>
    <definedName name="solver_lhs24" localSheetId="0" hidden="1">'JobShop (non générique)'!#REF!</definedName>
    <definedName name="solver_lhs25" localSheetId="0" hidden="1">'JobShop (non générique)'!#REF!</definedName>
    <definedName name="solver_lhs26" localSheetId="0" hidden="1">'JobShop (non générique)'!#REF!</definedName>
    <definedName name="solver_lhs27" localSheetId="0" hidden="1">'JobShop (non générique)'!#REF!</definedName>
    <definedName name="solver_lhs28" localSheetId="0" hidden="1">'JobShop (non générique)'!#REF!</definedName>
    <definedName name="solver_lhs29" localSheetId="0" hidden="1">'JobShop (non générique)'!#REF!</definedName>
    <definedName name="solver_lhs3" localSheetId="1" hidden="1">'JobShop (générique)'!$E$6:$E$14</definedName>
    <definedName name="solver_lhs3" localSheetId="0" hidden="1">'JobShop (non générique)'!$E$18</definedName>
    <definedName name="solver_lhs30" localSheetId="0" hidden="1">'JobShop (non générique)'!#REF!</definedName>
    <definedName name="solver_lhs31" localSheetId="0" hidden="1">'JobShop (non générique)'!#REF!</definedName>
    <definedName name="solver_lhs32" localSheetId="0" hidden="1">'JobShop (non générique)'!#REF!</definedName>
    <definedName name="solver_lhs33" localSheetId="0" hidden="1">'JobShop (non générique)'!#REF!</definedName>
    <definedName name="solver_lhs34" localSheetId="0" hidden="1">'JobShop (non générique)'!#REF!</definedName>
    <definedName name="solver_lhs35" localSheetId="0" hidden="1">'JobShop (non générique)'!#REF!</definedName>
    <definedName name="solver_lhs36" localSheetId="0" hidden="1">'JobShop (non générique)'!#REF!</definedName>
    <definedName name="solver_lhs4" localSheetId="1" hidden="1">'JobShop (générique)'!$C$28:$C$32</definedName>
    <definedName name="solver_lhs4" localSheetId="0" hidden="1">'JobShop (non générique)'!$C$19:$E$19</definedName>
    <definedName name="solver_lhs5" localSheetId="1" hidden="1">'JobShop (générique)'!$F$28:$F$32</definedName>
    <definedName name="solver_lhs5" localSheetId="0" hidden="1">'JobShop (non générique)'!$C$17</definedName>
    <definedName name="solver_lhs6" localSheetId="0" hidden="1">'JobShop (non générique)'!$H$18:$H$22</definedName>
    <definedName name="solver_lhs7" localSheetId="0" hidden="1">'JobShop (non générique)'!$H$6:$H$15</definedName>
    <definedName name="solver_lhs8" localSheetId="0" hidden="1">'JobShop (non générique)'!#REF!</definedName>
    <definedName name="solver_lhs9" localSheetId="0" hidden="1">'JobShop (non générique)'!#REF!</definedName>
    <definedName name="solver_lin" localSheetId="1" hidden="1">1</definedName>
    <definedName name="solver_lin" localSheetId="0" hidden="1">1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5</definedName>
    <definedName name="solver_num" localSheetId="0" hidden="1">7</definedName>
    <definedName name="solver_nwt" localSheetId="1" hidden="1">1</definedName>
    <definedName name="solver_nwt" localSheetId="0" hidden="1">1</definedName>
    <definedName name="solver_opt" localSheetId="1" hidden="1">'JobShop (générique)'!$C$3</definedName>
    <definedName name="solver_opt" localSheetId="0" hidden="1">'JobShop (non générique)'!$I$3</definedName>
    <definedName name="solver_pre" localSheetId="1" hidden="1">0.0000001</definedName>
    <definedName name="solver_pre" localSheetId="0" hidden="1">0.00001</definedName>
    <definedName name="solver_rbv" localSheetId="1" hidden="1">1</definedName>
    <definedName name="solver_rbv" localSheetId="0" hidden="1">1</definedName>
    <definedName name="solver_rel1" localSheetId="1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3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3</definedName>
    <definedName name="solver_rel2" localSheetId="1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3</definedName>
    <definedName name="solver_rel29" localSheetId="0" hidden="1">3</definedName>
    <definedName name="solver_rel3" localSheetId="1" hidden="1">1</definedName>
    <definedName name="solver_rel3" localSheetId="0" hidden="1">1</definedName>
    <definedName name="solver_rel30" localSheetId="0" hidden="1">3</definedName>
    <definedName name="solver_rel31" localSheetId="0" hidden="1">3</definedName>
    <definedName name="solver_rel32" localSheetId="0" hidden="1">3</definedName>
    <definedName name="solver_rel33" localSheetId="0" hidden="1">3</definedName>
    <definedName name="solver_rel34" localSheetId="0" hidden="1">3</definedName>
    <definedName name="solver_rel35" localSheetId="0" hidden="1">3</definedName>
    <definedName name="solver_rel36" localSheetId="0" hidden="1">3</definedName>
    <definedName name="solver_rel4" localSheetId="1" hidden="1">5</definedName>
    <definedName name="solver_rel4" localSheetId="0" hidden="1">1</definedName>
    <definedName name="solver_rel5" localSheetId="1" hidden="1">1</definedName>
    <definedName name="solver_rel5" localSheetId="0" hidden="1">1</definedName>
    <definedName name="solver_rel6" localSheetId="0" hidden="1">5</definedName>
    <definedName name="solver_rel7" localSheetId="0" hidden="1">1</definedName>
    <definedName name="solver_rel8" localSheetId="0" hidden="1">3</definedName>
    <definedName name="solver_rel9" localSheetId="0" hidden="1">3</definedName>
    <definedName name="solver_rhs1" localSheetId="1" hidden="1">'JobShop (générique)'!$D$20:$D$23</definedName>
    <definedName name="solver_rhs1" localSheetId="0" hidden="1">'JobShop (non générique)'!$D$11</definedName>
    <definedName name="solver_rhs10" localSheetId="0" hidden="1">'JobShop (non générique)'!#REF!</definedName>
    <definedName name="solver_rhs11" localSheetId="0" hidden="1">'JobShop (non générique)'!#REF!</definedName>
    <definedName name="solver_rhs12" localSheetId="0" hidden="1">'JobShop (non générique)'!#REF!</definedName>
    <definedName name="solver_rhs13" localSheetId="0" hidden="1">'JobShop (non générique)'!#REF!</definedName>
    <definedName name="solver_rhs14" localSheetId="0" hidden="1">'JobShop (non générique)'!#REF!</definedName>
    <definedName name="solver_rhs15" localSheetId="0" hidden="1">'JobShop (non générique)'!#REF!</definedName>
    <definedName name="solver_rhs16" localSheetId="0" hidden="1">'JobShop (non générique)'!#REF!</definedName>
    <definedName name="solver_rhs17" localSheetId="0" hidden="1">'JobShop (non générique)'!#REF!</definedName>
    <definedName name="solver_rhs18" localSheetId="0" hidden="1">'JobShop (non générique)'!#REF!</definedName>
    <definedName name="solver_rhs19" localSheetId="0" hidden="1">'JobShop (non générique)'!#REF!</definedName>
    <definedName name="solver_rhs2" localSheetId="1" hidden="1">'JobShop (générique)'!$E$28:$E$32</definedName>
    <definedName name="solver_rhs2" localSheetId="0" hidden="1">'JobShop (non générique)'!$D$13</definedName>
    <definedName name="solver_rhs20" localSheetId="0" hidden="1">'JobShop (non générique)'!#REF!</definedName>
    <definedName name="solver_rhs21" localSheetId="0" hidden="1">'JobShop (non générique)'!#REF!</definedName>
    <definedName name="solver_rhs22" localSheetId="0" hidden="1">'JobShop (non générique)'!#REF!</definedName>
    <definedName name="solver_rhs23" localSheetId="0" hidden="1">'JobShop (non générique)'!#REF!</definedName>
    <definedName name="solver_rhs24" localSheetId="0" hidden="1">'JobShop (non générique)'!#REF!</definedName>
    <definedName name="solver_rhs25" localSheetId="0" hidden="1">'JobShop (non générique)'!#REF!</definedName>
    <definedName name="solver_rhs26" localSheetId="0" hidden="1">'JobShop (non générique)'!#REF!</definedName>
    <definedName name="solver_rhs27" localSheetId="0" hidden="1">'JobShop (non générique)'!#REF!</definedName>
    <definedName name="solver_rhs28" localSheetId="0" hidden="1">'JobShop (non générique)'!#REF!</definedName>
    <definedName name="solver_rhs29" localSheetId="0" hidden="1">'JobShop (non générique)'!#REF!</definedName>
    <definedName name="solver_rhs3" localSheetId="1" hidden="1">'JobShop (générique)'!$C$3</definedName>
    <definedName name="solver_rhs3" localSheetId="0" hidden="1">'JobShop (non générique)'!$E$13</definedName>
    <definedName name="solver_rhs30" localSheetId="0" hidden="1">'JobShop (non générique)'!#REF!</definedName>
    <definedName name="solver_rhs31" localSheetId="0" hidden="1">'JobShop (non générique)'!#REF!</definedName>
    <definedName name="solver_rhs32" localSheetId="0" hidden="1">'JobShop (non générique)'!#REF!</definedName>
    <definedName name="solver_rhs33" localSheetId="0" hidden="1">'JobShop (non générique)'!#REF!</definedName>
    <definedName name="solver_rhs34" localSheetId="0" hidden="1">'JobShop (non générique)'!#REF!</definedName>
    <definedName name="solver_rhs35" localSheetId="0" hidden="1">'JobShop (non générique)'!#REF!</definedName>
    <definedName name="solver_rhs36" localSheetId="0" hidden="1">'JobShop (non générique)'!#REF!</definedName>
    <definedName name="solver_rhs4" localSheetId="1" hidden="1">binaire</definedName>
    <definedName name="solver_rhs4" localSheetId="0" hidden="1">'JobShop (non générique)'!$I$3</definedName>
    <definedName name="solver_rhs5" localSheetId="1" hidden="1">'JobShop (générique)'!$G$28:$G$32</definedName>
    <definedName name="solver_rhs5" localSheetId="0" hidden="1">'JobShop (non générique)'!$C$13</definedName>
    <definedName name="solver_rhs6" localSheetId="0" hidden="1">binaire</definedName>
    <definedName name="solver_rhs7" localSheetId="0" hidden="1">'JobShop (non générique)'!$I$6:$I$15</definedName>
    <definedName name="solver_rhs8" localSheetId="0" hidden="1">'JobShop (non générique)'!#REF!</definedName>
    <definedName name="solver_rhs9" localSheetId="0" hidden="1">'JobShop (non générique)'!#REF!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100</definedName>
    <definedName name="solver_tim" localSheetId="0" hidden="1">100</definedName>
    <definedName name="solver_tol" localSheetId="1" hidden="1">0.01</definedName>
    <definedName name="solver_tol" localSheetId="0" hidden="1">0.05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44525"/>
</workbook>
</file>

<file path=xl/calcChain.xml><?xml version="1.0" encoding="utf-8"?>
<calcChain xmlns="http://schemas.openxmlformats.org/spreadsheetml/2006/main">
  <c r="B16" i="2" l="1"/>
  <c r="E28" i="2"/>
  <c r="E30" i="2"/>
  <c r="E32" i="2"/>
  <c r="D21" i="2"/>
  <c r="D22" i="2"/>
  <c r="D23" i="2"/>
  <c r="D20" i="2"/>
  <c r="E7" i="2"/>
  <c r="C22" i="2"/>
  <c r="E8" i="2"/>
  <c r="E9" i="2"/>
  <c r="E10" i="2"/>
  <c r="C21" i="2"/>
  <c r="E11" i="2"/>
  <c r="F29" i="2"/>
  <c r="E12" i="2"/>
  <c r="D30" i="2"/>
  <c r="E13" i="2"/>
  <c r="D32" i="2"/>
  <c r="E14" i="2"/>
  <c r="F31" i="2"/>
  <c r="E6" i="2"/>
  <c r="C20" i="2"/>
  <c r="B21" i="1"/>
  <c r="I15" i="1" s="1"/>
  <c r="C18" i="1"/>
  <c r="D18" i="1"/>
  <c r="H8" i="1"/>
  <c r="E18" i="1"/>
  <c r="H9" i="1"/>
  <c r="C19" i="1"/>
  <c r="H12" i="1"/>
  <c r="D19" i="1"/>
  <c r="H14" i="1"/>
  <c r="E19" i="1"/>
  <c r="H15" i="1"/>
  <c r="D17" i="1"/>
  <c r="H7" i="1"/>
  <c r="E17" i="1"/>
  <c r="C17" i="1"/>
  <c r="H6" i="1"/>
  <c r="D31" i="2"/>
  <c r="F30" i="2"/>
  <c r="D29" i="2"/>
  <c r="D28" i="2"/>
  <c r="C23" i="2"/>
  <c r="F28" i="2"/>
  <c r="G31" i="2"/>
  <c r="G29" i="2"/>
  <c r="G28" i="2"/>
  <c r="E31" i="2"/>
  <c r="E29" i="2"/>
  <c r="G32" i="2"/>
  <c r="G30" i="2"/>
  <c r="H10" i="1"/>
  <c r="H13" i="1"/>
  <c r="H11" i="1"/>
  <c r="F32" i="2"/>
  <c r="I6" i="1" l="1"/>
  <c r="I7" i="1"/>
  <c r="I8" i="1"/>
  <c r="I9" i="1"/>
  <c r="I10" i="1"/>
  <c r="I11" i="1"/>
  <c r="I12" i="1"/>
  <c r="I13" i="1"/>
  <c r="I14" i="1"/>
</calcChain>
</file>

<file path=xl/sharedStrings.xml><?xml version="1.0" encoding="utf-8"?>
<sst xmlns="http://schemas.openxmlformats.org/spreadsheetml/2006/main" count="80" uniqueCount="54">
  <si>
    <t>Machine</t>
  </si>
  <si>
    <t>Couleurs</t>
  </si>
  <si>
    <t>Modèle 1</t>
  </si>
  <si>
    <t>Modèle 2</t>
  </si>
  <si>
    <t>Modèle 3</t>
  </si>
  <si>
    <t>Bleu</t>
  </si>
  <si>
    <t>Vert</t>
  </si>
  <si>
    <t>Jaune</t>
  </si>
  <si>
    <t>Temps nécessaire pour appliquer chaque couleur (en minutes)</t>
  </si>
  <si>
    <t>Disjonctions</t>
  </si>
  <si>
    <t>Variables de disjonction</t>
  </si>
  <si>
    <t>y1</t>
  </si>
  <si>
    <t>y2</t>
  </si>
  <si>
    <t>y3</t>
  </si>
  <si>
    <t>y4</t>
  </si>
  <si>
    <t>y5</t>
  </si>
  <si>
    <t>Machine 1</t>
  </si>
  <si>
    <t>Machine 2</t>
  </si>
  <si>
    <t>Machine 3</t>
  </si>
  <si>
    <t>Opérations</t>
  </si>
  <si>
    <t>Durée</t>
  </si>
  <si>
    <t>(machine, job)</t>
  </si>
  <si>
    <t>(1,1)</t>
  </si>
  <si>
    <t>(1,2)</t>
  </si>
  <si>
    <t>(2,2)</t>
  </si>
  <si>
    <t>(2,3)</t>
  </si>
  <si>
    <t>(1,3)</t>
  </si>
  <si>
    <t>(2,1)</t>
  </si>
  <si>
    <t>(3,1)</t>
  </si>
  <si>
    <t>(3,2)</t>
  </si>
  <si>
    <t>(3,3)</t>
  </si>
  <si>
    <t>Précédences</t>
  </si>
  <si>
    <t>Opération i</t>
  </si>
  <si>
    <t>Opération j</t>
  </si>
  <si>
    <t>Début</t>
  </si>
  <si>
    <t>Fin</t>
  </si>
  <si>
    <t>Fin i</t>
  </si>
  <si>
    <t>Début j</t>
  </si>
  <si>
    <t>Fin j</t>
  </si>
  <si>
    <t>Opérations et variables</t>
  </si>
  <si>
    <t>Disjonctions 1</t>
  </si>
  <si>
    <t>Disjonctions 2</t>
  </si>
  <si>
    <t>Durée totale d'exécution</t>
  </si>
  <si>
    <t>Dates de début d'exécution des tâches</t>
  </si>
  <si>
    <t>Dates de fin d'exécution des tâches</t>
  </si>
  <si>
    <t>Borne UB (M)</t>
  </si>
  <si>
    <t>Disjonct. j</t>
  </si>
  <si>
    <t>Disjonct. i</t>
  </si>
  <si>
    <t>Modèles 1 et 2</t>
  </si>
  <si>
    <t>Modèles 2 et 3</t>
  </si>
  <si>
    <t>Modèles 1 et 3</t>
  </si>
  <si>
    <t>C6-JobShop : ordonnancement d'un atelier en îlots (non-générique).</t>
  </si>
  <si>
    <t>C6-JobShop : ordonnancement d'un atelier en îlots (générique).</t>
  </si>
  <si>
    <t>Variables y(i,j)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</si>
</sst>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1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Alignment="1">
      <alignment vertical="center"/>
    </xf>
    <xf numFmtId="0" fontId="5" fillId="0" borderId="0" xfId="0" applyFont="1"/>
    <xf numFmtId="0" fontId="3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1" fontId="0" fillId="0" borderId="0" xfId="0" applyNumberFormat="1" applyAlignment="1">
      <alignment vertical="center"/>
    </xf>
    <xf numFmtId="3" fontId="1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J34"/>
  <sheetViews>
    <sheetView workbookViewId="0">
      <selection activeCell="I3" sqref="I3"/>
    </sheetView>
  </sheetViews>
  <sheetFormatPr baseColWidth="10" defaultColWidth="20.140625" defaultRowHeight="15" x14ac:dyDescent="0.25"/>
  <cols>
    <col min="1" max="5" width="12.7109375" style="1" customWidth="1"/>
    <col min="6" max="6" width="4.85546875" style="1" customWidth="1"/>
    <col min="7" max="7" width="14.7109375" style="4" customWidth="1"/>
    <col min="8" max="8" width="12.7109375" style="4" customWidth="1"/>
    <col min="9" max="10" width="12.7109375" style="1" customWidth="1"/>
    <col min="11" max="11" width="9.5703125" style="1" bestFit="1" customWidth="1"/>
    <col min="12" max="12" width="4.5703125" style="1" customWidth="1"/>
    <col min="13" max="18" width="9" style="1" customWidth="1"/>
    <col min="19" max="16384" width="20.140625" style="1"/>
  </cols>
  <sheetData>
    <row r="1" spans="1:10" ht="26.25" x14ac:dyDescent="0.4">
      <c r="A1" s="2" t="s">
        <v>51</v>
      </c>
      <c r="I1" s="4"/>
    </row>
    <row r="2" spans="1:10" ht="15" customHeight="1" x14ac:dyDescent="0.25">
      <c r="A2" s="6"/>
      <c r="B2" s="6"/>
      <c r="C2" s="6"/>
      <c r="D2" s="6"/>
      <c r="E2" s="6"/>
      <c r="F2" s="6"/>
      <c r="G2" s="6"/>
      <c r="H2" s="6"/>
      <c r="I2" s="6"/>
    </row>
    <row r="3" spans="1:10" ht="15" customHeight="1" x14ac:dyDescent="0.25">
      <c r="A3" s="32" t="s">
        <v>8</v>
      </c>
      <c r="B3" s="32"/>
      <c r="C3" s="32"/>
      <c r="D3" s="32"/>
      <c r="E3" s="32"/>
      <c r="F3" s="6"/>
      <c r="G3" s="33" t="s">
        <v>42</v>
      </c>
      <c r="H3" s="33"/>
      <c r="I3" s="29">
        <v>99</v>
      </c>
    </row>
    <row r="4" spans="1:10" ht="15" customHeight="1" x14ac:dyDescent="0.25">
      <c r="A4" s="3" t="s">
        <v>0</v>
      </c>
      <c r="B4" s="3" t="s">
        <v>1</v>
      </c>
      <c r="C4" s="3" t="s">
        <v>2</v>
      </c>
      <c r="D4" s="3" t="s">
        <v>3</v>
      </c>
      <c r="E4" s="3" t="s">
        <v>4</v>
      </c>
      <c r="F4" s="6"/>
      <c r="G4" s="6"/>
      <c r="H4" s="6"/>
      <c r="I4" s="9"/>
    </row>
    <row r="5" spans="1:10" ht="15" customHeight="1" x14ac:dyDescent="0.25">
      <c r="A5" s="3">
        <v>1</v>
      </c>
      <c r="B5" s="8" t="s">
        <v>5</v>
      </c>
      <c r="C5" s="8">
        <v>45</v>
      </c>
      <c r="D5" s="8">
        <v>20</v>
      </c>
      <c r="E5" s="8">
        <v>0</v>
      </c>
      <c r="F5" s="7"/>
      <c r="G5" s="3" t="s">
        <v>9</v>
      </c>
      <c r="H5" s="6"/>
      <c r="I5" s="6"/>
    </row>
    <row r="6" spans="1:10" ht="15" customHeight="1" x14ac:dyDescent="0.25">
      <c r="A6" s="3">
        <v>2</v>
      </c>
      <c r="B6" s="8" t="s">
        <v>6</v>
      </c>
      <c r="C6" s="8">
        <v>0</v>
      </c>
      <c r="D6" s="8">
        <v>10</v>
      </c>
      <c r="E6" s="8">
        <v>17</v>
      </c>
      <c r="F6" s="7"/>
      <c r="G6" s="10" t="s">
        <v>16</v>
      </c>
      <c r="H6" s="24">
        <f>C17</f>
        <v>89</v>
      </c>
      <c r="I6" s="24">
        <f>D11+B21*(1-H18)</f>
        <v>188</v>
      </c>
      <c r="J6" s="6"/>
    </row>
    <row r="7" spans="1:10" ht="15" customHeight="1" x14ac:dyDescent="0.25">
      <c r="A7" s="3">
        <v>3</v>
      </c>
      <c r="B7" s="8" t="s">
        <v>7</v>
      </c>
      <c r="C7" s="8">
        <v>10</v>
      </c>
      <c r="D7" s="8">
        <v>34</v>
      </c>
      <c r="E7" s="8">
        <v>28</v>
      </c>
      <c r="F7" s="7"/>
      <c r="G7" s="11" t="s">
        <v>48</v>
      </c>
      <c r="H7" s="24">
        <f>D17</f>
        <v>44</v>
      </c>
      <c r="I7" s="24">
        <f>C11+B21*H18</f>
        <v>44</v>
      </c>
      <c r="J7" s="6"/>
    </row>
    <row r="8" spans="1:10" ht="15" customHeight="1" x14ac:dyDescent="0.25">
      <c r="A8" s="6"/>
      <c r="B8" s="7"/>
      <c r="C8" s="7"/>
      <c r="D8" s="7"/>
      <c r="E8" s="7"/>
      <c r="F8" s="7"/>
      <c r="G8" s="10" t="s">
        <v>17</v>
      </c>
      <c r="H8" s="24">
        <f>D18</f>
        <v>10</v>
      </c>
      <c r="I8" s="24">
        <f>E12+B21*(1-H19)</f>
        <v>10</v>
      </c>
      <c r="J8" s="6"/>
    </row>
    <row r="9" spans="1:10" ht="15" customHeight="1" x14ac:dyDescent="0.25">
      <c r="A9" s="32" t="s">
        <v>43</v>
      </c>
      <c r="B9" s="32"/>
      <c r="C9" s="32"/>
      <c r="D9" s="32"/>
      <c r="E9" s="32"/>
      <c r="F9" s="7"/>
      <c r="G9" s="11" t="s">
        <v>49</v>
      </c>
      <c r="H9" s="24">
        <f>E18</f>
        <v>27</v>
      </c>
      <c r="I9" s="24">
        <f>D12+B21*H19</f>
        <v>164</v>
      </c>
      <c r="J9" s="6"/>
    </row>
    <row r="10" spans="1:10" ht="15" customHeight="1" x14ac:dyDescent="0.25">
      <c r="A10" s="3" t="s">
        <v>0</v>
      </c>
      <c r="B10" s="3" t="s">
        <v>1</v>
      </c>
      <c r="C10" s="3" t="s">
        <v>2</v>
      </c>
      <c r="D10" s="3" t="s">
        <v>3</v>
      </c>
      <c r="E10" s="3" t="s">
        <v>4</v>
      </c>
      <c r="F10" s="7"/>
      <c r="G10" s="10" t="s">
        <v>18</v>
      </c>
      <c r="H10" s="24">
        <f>C19</f>
        <v>99</v>
      </c>
      <c r="I10" s="24">
        <f>D13+B21*(1-H20)</f>
        <v>219</v>
      </c>
      <c r="J10" s="6"/>
    </row>
    <row r="11" spans="1:10" ht="15" customHeight="1" x14ac:dyDescent="0.25">
      <c r="A11" s="3">
        <v>1</v>
      </c>
      <c r="B11" s="8" t="s">
        <v>5</v>
      </c>
      <c r="C11" s="21">
        <v>44</v>
      </c>
      <c r="D11" s="21">
        <v>24</v>
      </c>
      <c r="E11" s="21">
        <v>0</v>
      </c>
      <c r="F11" s="7"/>
      <c r="G11" s="11" t="s">
        <v>48</v>
      </c>
      <c r="H11" s="24">
        <f>D19</f>
        <v>89</v>
      </c>
      <c r="I11" s="24">
        <f>C13+B21*H20</f>
        <v>89</v>
      </c>
      <c r="J11" s="6"/>
    </row>
    <row r="12" spans="1:10" ht="15" customHeight="1" x14ac:dyDescent="0.25">
      <c r="A12" s="3">
        <v>2</v>
      </c>
      <c r="B12" s="8" t="s">
        <v>6</v>
      </c>
      <c r="C12" s="21">
        <v>0</v>
      </c>
      <c r="D12" s="21">
        <v>0</v>
      </c>
      <c r="E12" s="21">
        <v>10</v>
      </c>
      <c r="F12" s="7"/>
      <c r="G12" s="10" t="s">
        <v>18</v>
      </c>
      <c r="H12" s="24">
        <f>C19</f>
        <v>99</v>
      </c>
      <c r="I12" s="24">
        <f>E13+B21*(1-H21)</f>
        <v>191</v>
      </c>
      <c r="J12" s="6"/>
    </row>
    <row r="13" spans="1:10" ht="15" customHeight="1" x14ac:dyDescent="0.25">
      <c r="A13" s="3">
        <v>3</v>
      </c>
      <c r="B13" s="8" t="s">
        <v>7</v>
      </c>
      <c r="C13" s="21">
        <v>89</v>
      </c>
      <c r="D13" s="21">
        <v>55</v>
      </c>
      <c r="E13" s="21">
        <v>27</v>
      </c>
      <c r="F13" s="7"/>
      <c r="G13" s="11" t="s">
        <v>50</v>
      </c>
      <c r="H13" s="24">
        <f>E19</f>
        <v>55</v>
      </c>
      <c r="I13" s="24">
        <f>C13+B21*H21</f>
        <v>89</v>
      </c>
      <c r="J13" s="6"/>
    </row>
    <row r="14" spans="1:10" ht="15" customHeight="1" x14ac:dyDescent="0.25">
      <c r="A14" s="6"/>
      <c r="B14" s="7"/>
      <c r="C14" s="7"/>
      <c r="D14" s="7"/>
      <c r="E14" s="7"/>
      <c r="F14" s="7"/>
      <c r="G14" s="10" t="s">
        <v>18</v>
      </c>
      <c r="H14" s="24">
        <f>D19</f>
        <v>89</v>
      </c>
      <c r="I14" s="24">
        <f>E13+B21*(1-H22)</f>
        <v>191</v>
      </c>
      <c r="J14" s="6"/>
    </row>
    <row r="15" spans="1:10" ht="15" customHeight="1" x14ac:dyDescent="0.25">
      <c r="A15" s="32" t="s">
        <v>44</v>
      </c>
      <c r="B15" s="32"/>
      <c r="C15" s="32"/>
      <c r="D15" s="32"/>
      <c r="E15" s="32"/>
      <c r="F15" s="7"/>
      <c r="G15" s="11" t="s">
        <v>49</v>
      </c>
      <c r="H15" s="24">
        <f>E19</f>
        <v>55</v>
      </c>
      <c r="I15" s="24">
        <f>D13+B21*H22</f>
        <v>55</v>
      </c>
      <c r="J15" s="6"/>
    </row>
    <row r="16" spans="1:10" ht="15" customHeight="1" x14ac:dyDescent="0.25">
      <c r="A16" s="3" t="s">
        <v>0</v>
      </c>
      <c r="B16" s="3" t="s">
        <v>1</v>
      </c>
      <c r="C16" s="3" t="s">
        <v>2</v>
      </c>
      <c r="D16" s="3" t="s">
        <v>3</v>
      </c>
      <c r="E16" s="3" t="s">
        <v>4</v>
      </c>
      <c r="F16" s="7"/>
      <c r="G16" s="6"/>
      <c r="H16" s="6"/>
      <c r="I16" s="6"/>
    </row>
    <row r="17" spans="1:9" ht="15" customHeight="1" x14ac:dyDescent="0.25">
      <c r="A17" s="3">
        <v>1</v>
      </c>
      <c r="B17" s="8" t="s">
        <v>5</v>
      </c>
      <c r="C17" s="23">
        <f t="shared" ref="C17:E19" si="0">C11+C5</f>
        <v>89</v>
      </c>
      <c r="D17" s="23">
        <f t="shared" si="0"/>
        <v>44</v>
      </c>
      <c r="E17" s="23">
        <f t="shared" si="0"/>
        <v>0</v>
      </c>
      <c r="F17" s="7"/>
      <c r="G17" s="32" t="s">
        <v>10</v>
      </c>
      <c r="H17" s="32"/>
      <c r="I17" s="6"/>
    </row>
    <row r="18" spans="1:9" ht="15" customHeight="1" x14ac:dyDescent="0.25">
      <c r="A18" s="3">
        <v>2</v>
      </c>
      <c r="B18" s="8" t="s">
        <v>6</v>
      </c>
      <c r="C18" s="23">
        <f t="shared" si="0"/>
        <v>0</v>
      </c>
      <c r="D18" s="23">
        <f t="shared" si="0"/>
        <v>10</v>
      </c>
      <c r="E18" s="23">
        <f t="shared" si="0"/>
        <v>27</v>
      </c>
      <c r="F18" s="7"/>
      <c r="G18" s="5" t="s">
        <v>11</v>
      </c>
      <c r="H18" s="22">
        <v>0</v>
      </c>
      <c r="I18" s="6"/>
    </row>
    <row r="19" spans="1:9" ht="15" customHeight="1" x14ac:dyDescent="0.25">
      <c r="A19" s="3">
        <v>3</v>
      </c>
      <c r="B19" s="8" t="s">
        <v>7</v>
      </c>
      <c r="C19" s="23">
        <f t="shared" si="0"/>
        <v>99</v>
      </c>
      <c r="D19" s="23">
        <f t="shared" si="0"/>
        <v>89</v>
      </c>
      <c r="E19" s="23">
        <f t="shared" si="0"/>
        <v>55</v>
      </c>
      <c r="F19" s="7"/>
      <c r="G19" s="5" t="s">
        <v>12</v>
      </c>
      <c r="H19" s="22">
        <v>1</v>
      </c>
      <c r="I19" s="6"/>
    </row>
    <row r="20" spans="1:9" ht="15" customHeight="1" x14ac:dyDescent="0.25">
      <c r="A20" s="6"/>
      <c r="B20" s="7"/>
      <c r="C20" s="7"/>
      <c r="D20" s="7"/>
      <c r="E20" s="7"/>
      <c r="F20" s="7"/>
      <c r="G20" s="5" t="s">
        <v>13</v>
      </c>
      <c r="H20" s="22">
        <v>0</v>
      </c>
      <c r="I20" s="6"/>
    </row>
    <row r="21" spans="1:9" ht="15" customHeight="1" x14ac:dyDescent="0.25">
      <c r="A21" s="3" t="s">
        <v>45</v>
      </c>
      <c r="B21" s="23">
        <f>SUM(C5:E7)</f>
        <v>164</v>
      </c>
      <c r="C21" s="7"/>
      <c r="D21" s="6"/>
      <c r="E21" s="6"/>
      <c r="F21" s="7"/>
      <c r="G21" s="5" t="s">
        <v>14</v>
      </c>
      <c r="H21" s="22">
        <v>0</v>
      </c>
      <c r="I21" s="6"/>
    </row>
    <row r="22" spans="1:9" x14ac:dyDescent="0.25">
      <c r="G22" s="5" t="s">
        <v>15</v>
      </c>
      <c r="H22" s="22">
        <v>0</v>
      </c>
    </row>
    <row r="23" spans="1:9" x14ac:dyDescent="0.25">
      <c r="G23" s="1"/>
      <c r="H23" s="1"/>
    </row>
    <row r="24" spans="1:9" x14ac:dyDescent="0.25">
      <c r="G24" s="1"/>
      <c r="H24" s="1"/>
    </row>
    <row r="25" spans="1:9" x14ac:dyDescent="0.25">
      <c r="G25" s="1"/>
      <c r="H25" s="1"/>
    </row>
    <row r="26" spans="1:9" x14ac:dyDescent="0.25">
      <c r="G26" s="1"/>
      <c r="H26" s="1"/>
    </row>
    <row r="27" spans="1:9" x14ac:dyDescent="0.25">
      <c r="G27" s="1"/>
      <c r="H27" s="1"/>
    </row>
    <row r="28" spans="1:9" x14ac:dyDescent="0.25">
      <c r="G28" s="1"/>
      <c r="H28" s="1"/>
    </row>
    <row r="29" spans="1:9" x14ac:dyDescent="0.25">
      <c r="G29" s="1"/>
      <c r="H29" s="1"/>
    </row>
    <row r="30" spans="1:9" x14ac:dyDescent="0.25">
      <c r="G30" s="1"/>
      <c r="H30" s="1"/>
    </row>
    <row r="31" spans="1:9" x14ac:dyDescent="0.25">
      <c r="G31" s="1"/>
      <c r="H31" s="1"/>
    </row>
    <row r="32" spans="1:9" x14ac:dyDescent="0.25">
      <c r="G32" s="1"/>
      <c r="H32" s="1"/>
    </row>
    <row r="33" spans="7:8" x14ac:dyDescent="0.25">
      <c r="G33" s="1"/>
      <c r="H33" s="1"/>
    </row>
    <row r="34" spans="7:8" ht="15" customHeight="1" x14ac:dyDescent="0.25"/>
  </sheetData>
  <mergeCells count="5">
    <mergeCell ref="A3:E3"/>
    <mergeCell ref="A9:E9"/>
    <mergeCell ref="A15:E15"/>
    <mergeCell ref="G17:H17"/>
    <mergeCell ref="G3:H3"/>
  </mergeCells>
  <phoneticPr fontId="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32"/>
  <sheetViews>
    <sheetView tabSelected="1" topLeftCell="A2" workbookViewId="0">
      <selection activeCell="K21" sqref="K21"/>
    </sheetView>
  </sheetViews>
  <sheetFormatPr baseColWidth="10" defaultRowHeight="15" x14ac:dyDescent="0.25"/>
  <cols>
    <col min="1" max="1" width="14.28515625" style="13" customWidth="1"/>
    <col min="2" max="2" width="13.85546875" style="13" bestFit="1" customWidth="1"/>
    <col min="3" max="3" width="13.7109375" style="13" customWidth="1"/>
    <col min="4" max="16384" width="11.42578125" style="13"/>
  </cols>
  <sheetData>
    <row r="1" spans="1:5" ht="26.25" x14ac:dyDescent="0.25">
      <c r="A1" s="12" t="s">
        <v>52</v>
      </c>
      <c r="B1" s="1"/>
      <c r="C1" s="1"/>
      <c r="D1" s="1"/>
      <c r="E1" s="1"/>
    </row>
    <row r="2" spans="1:5" x14ac:dyDescent="0.25">
      <c r="A2" s="6"/>
      <c r="B2" s="6"/>
      <c r="C2" s="6"/>
      <c r="D2" s="6"/>
      <c r="E2" s="6"/>
    </row>
    <row r="3" spans="1:5" x14ac:dyDescent="0.25">
      <c r="A3" s="34" t="s">
        <v>42</v>
      </c>
      <c r="B3" s="35"/>
      <c r="C3" s="31">
        <v>99</v>
      </c>
    </row>
    <row r="5" spans="1:5" x14ac:dyDescent="0.25">
      <c r="A5" s="14" t="s">
        <v>19</v>
      </c>
      <c r="B5" s="14" t="s">
        <v>21</v>
      </c>
      <c r="C5" s="14" t="s">
        <v>20</v>
      </c>
      <c r="D5" s="14" t="s">
        <v>34</v>
      </c>
      <c r="E5" s="14" t="s">
        <v>35</v>
      </c>
    </row>
    <row r="6" spans="1:5" x14ac:dyDescent="0.25">
      <c r="A6" s="14">
        <v>1</v>
      </c>
      <c r="B6" s="16" t="s">
        <v>22</v>
      </c>
      <c r="C6" s="16">
        <v>45</v>
      </c>
      <c r="D6" s="27">
        <v>44</v>
      </c>
      <c r="E6" s="28">
        <f>D6+C6</f>
        <v>89</v>
      </c>
    </row>
    <row r="7" spans="1:5" x14ac:dyDescent="0.25">
      <c r="A7" s="14">
        <v>2</v>
      </c>
      <c r="B7" s="16" t="s">
        <v>23</v>
      </c>
      <c r="C7" s="16">
        <v>20</v>
      </c>
      <c r="D7" s="27">
        <v>10</v>
      </c>
      <c r="E7" s="28">
        <f t="shared" ref="E7:E14" si="0">D7+C7</f>
        <v>30</v>
      </c>
    </row>
    <row r="8" spans="1:5" x14ac:dyDescent="0.25">
      <c r="A8" s="14">
        <v>3</v>
      </c>
      <c r="B8" s="16" t="s">
        <v>26</v>
      </c>
      <c r="C8" s="16">
        <v>0</v>
      </c>
      <c r="D8" s="27">
        <v>0</v>
      </c>
      <c r="E8" s="28">
        <f t="shared" si="0"/>
        <v>0</v>
      </c>
    </row>
    <row r="9" spans="1:5" x14ac:dyDescent="0.25">
      <c r="A9" s="14">
        <v>4</v>
      </c>
      <c r="B9" s="16" t="s">
        <v>27</v>
      </c>
      <c r="C9" s="16">
        <v>0</v>
      </c>
      <c r="D9" s="27">
        <v>0</v>
      </c>
      <c r="E9" s="28">
        <f t="shared" si="0"/>
        <v>0</v>
      </c>
    </row>
    <row r="10" spans="1:5" x14ac:dyDescent="0.25">
      <c r="A10" s="14">
        <v>5</v>
      </c>
      <c r="B10" s="16" t="s">
        <v>24</v>
      </c>
      <c r="C10" s="16">
        <v>10</v>
      </c>
      <c r="D10" s="27">
        <v>0</v>
      </c>
      <c r="E10" s="28">
        <f t="shared" si="0"/>
        <v>10</v>
      </c>
    </row>
    <row r="11" spans="1:5" x14ac:dyDescent="0.25">
      <c r="A11" s="14">
        <v>6</v>
      </c>
      <c r="B11" s="16" t="s">
        <v>25</v>
      </c>
      <c r="C11" s="16">
        <v>17</v>
      </c>
      <c r="D11" s="27">
        <v>10</v>
      </c>
      <c r="E11" s="28">
        <f t="shared" si="0"/>
        <v>27</v>
      </c>
    </row>
    <row r="12" spans="1:5" x14ac:dyDescent="0.25">
      <c r="A12" s="14">
        <v>7</v>
      </c>
      <c r="B12" s="16" t="s">
        <v>28</v>
      </c>
      <c r="C12" s="16">
        <v>10</v>
      </c>
      <c r="D12" s="27">
        <v>89</v>
      </c>
      <c r="E12" s="28">
        <f t="shared" si="0"/>
        <v>99</v>
      </c>
    </row>
    <row r="13" spans="1:5" x14ac:dyDescent="0.25">
      <c r="A13" s="14">
        <v>8</v>
      </c>
      <c r="B13" s="16" t="s">
        <v>29</v>
      </c>
      <c r="C13" s="16">
        <v>34</v>
      </c>
      <c r="D13" s="27">
        <v>55</v>
      </c>
      <c r="E13" s="28">
        <f t="shared" si="0"/>
        <v>89</v>
      </c>
    </row>
    <row r="14" spans="1:5" x14ac:dyDescent="0.25">
      <c r="A14" s="14">
        <v>9</v>
      </c>
      <c r="B14" s="16" t="s">
        <v>30</v>
      </c>
      <c r="C14" s="16">
        <v>28</v>
      </c>
      <c r="D14" s="27">
        <v>27</v>
      </c>
      <c r="E14" s="28">
        <f t="shared" si="0"/>
        <v>55</v>
      </c>
    </row>
    <row r="15" spans="1:5" x14ac:dyDescent="0.25">
      <c r="A15" s="17"/>
      <c r="B15" s="18"/>
    </row>
    <row r="16" spans="1:5" x14ac:dyDescent="0.25">
      <c r="A16" s="19" t="s">
        <v>45</v>
      </c>
      <c r="B16" s="25">
        <f>SUM(C6:C14)</f>
        <v>164</v>
      </c>
      <c r="D16" s="17"/>
      <c r="E16" s="17"/>
    </row>
    <row r="17" spans="1:13" x14ac:dyDescent="0.25">
      <c r="D17" s="17"/>
    </row>
    <row r="18" spans="1:13" x14ac:dyDescent="0.25">
      <c r="A18" s="36" t="s">
        <v>31</v>
      </c>
      <c r="B18" s="36"/>
      <c r="C18" s="36"/>
      <c r="D18" s="36"/>
    </row>
    <row r="19" spans="1:13" x14ac:dyDescent="0.25">
      <c r="A19" s="14" t="s">
        <v>32</v>
      </c>
      <c r="B19" s="14" t="s">
        <v>33</v>
      </c>
      <c r="C19" s="14" t="s">
        <v>36</v>
      </c>
      <c r="D19" s="14" t="s">
        <v>37</v>
      </c>
    </row>
    <row r="20" spans="1:13" x14ac:dyDescent="0.25">
      <c r="A20" s="16">
        <v>1</v>
      </c>
      <c r="B20" s="16">
        <v>7</v>
      </c>
      <c r="C20" s="28">
        <f>INDEX($E$6:$E$14,A20)</f>
        <v>89</v>
      </c>
      <c r="D20" s="28">
        <f>INDEX($D$6:$D$14,B20)</f>
        <v>89</v>
      </c>
    </row>
    <row r="21" spans="1:13" x14ac:dyDescent="0.25">
      <c r="A21" s="16">
        <v>5</v>
      </c>
      <c r="B21" s="16">
        <v>2</v>
      </c>
      <c r="C21" s="28">
        <f>INDEX($E$6:$E$14,A21)</f>
        <v>10</v>
      </c>
      <c r="D21" s="28">
        <f>INDEX($D$6:$D$14,B21)</f>
        <v>10</v>
      </c>
    </row>
    <row r="22" spans="1:13" x14ac:dyDescent="0.25">
      <c r="A22" s="16">
        <v>2</v>
      </c>
      <c r="B22" s="16">
        <v>8</v>
      </c>
      <c r="C22" s="28">
        <f>INDEX($E$6:$E$14,A22)</f>
        <v>30</v>
      </c>
      <c r="D22" s="28">
        <f>INDEX($D$6:$D$14,B22)</f>
        <v>55</v>
      </c>
    </row>
    <row r="23" spans="1:13" x14ac:dyDescent="0.25">
      <c r="A23" s="16">
        <v>6</v>
      </c>
      <c r="B23" s="16">
        <v>9</v>
      </c>
      <c r="C23" s="28">
        <f>INDEX($E$6:$E$14,A23)</f>
        <v>27</v>
      </c>
      <c r="D23" s="28">
        <f>INDEX($D$6:$D$14,B23)</f>
        <v>27</v>
      </c>
    </row>
    <row r="24" spans="1:13" x14ac:dyDescent="0.25">
      <c r="A24" s="15"/>
      <c r="B24" s="15"/>
    </row>
    <row r="25" spans="1:13" x14ac:dyDescent="0.25">
      <c r="A25" s="36" t="s">
        <v>9</v>
      </c>
      <c r="B25" s="36"/>
      <c r="C25" s="36"/>
      <c r="D25" s="36"/>
      <c r="E25" s="36"/>
      <c r="F25" s="36"/>
      <c r="G25" s="36"/>
    </row>
    <row r="26" spans="1:13" x14ac:dyDescent="0.25">
      <c r="A26" s="36" t="s">
        <v>39</v>
      </c>
      <c r="B26" s="36"/>
      <c r="C26" s="36"/>
      <c r="D26" s="36" t="s">
        <v>40</v>
      </c>
      <c r="E26" s="36"/>
      <c r="F26" s="36" t="s">
        <v>41</v>
      </c>
      <c r="G26" s="36"/>
    </row>
    <row r="27" spans="1:13" x14ac:dyDescent="0.25">
      <c r="A27" s="14" t="s">
        <v>32</v>
      </c>
      <c r="B27" s="14" t="s">
        <v>33</v>
      </c>
      <c r="C27" s="20" t="s">
        <v>53</v>
      </c>
      <c r="D27" s="14" t="s">
        <v>36</v>
      </c>
      <c r="E27" s="19" t="s">
        <v>46</v>
      </c>
      <c r="F27" s="14" t="s">
        <v>38</v>
      </c>
      <c r="G27" s="19" t="s">
        <v>47</v>
      </c>
    </row>
    <row r="28" spans="1:13" x14ac:dyDescent="0.25">
      <c r="A28" s="16">
        <v>1</v>
      </c>
      <c r="B28" s="16">
        <v>2</v>
      </c>
      <c r="C28" s="26">
        <v>1</v>
      </c>
      <c r="D28" s="28">
        <f>INDEX($E$6:$E$14,A28)</f>
        <v>89</v>
      </c>
      <c r="E28" s="28">
        <f>INDEX($D$6:$D$14,B28)+$B$16*C28</f>
        <v>174</v>
      </c>
      <c r="F28" s="28">
        <f>INDEX($E$6:$E$14,B28)</f>
        <v>30</v>
      </c>
      <c r="G28" s="28">
        <f>INDEX($D$6:$D$14,A28)+$B$16*(1-C28)</f>
        <v>44</v>
      </c>
    </row>
    <row r="29" spans="1:13" x14ac:dyDescent="0.25">
      <c r="A29" s="16">
        <v>5</v>
      </c>
      <c r="B29" s="16">
        <v>6</v>
      </c>
      <c r="C29" s="26">
        <v>0</v>
      </c>
      <c r="D29" s="28">
        <f>INDEX($E$6:$E$14,A29)</f>
        <v>10</v>
      </c>
      <c r="E29" s="28">
        <f>INDEX($D$6:$D$14,B29)+$B$16*C29</f>
        <v>10</v>
      </c>
      <c r="F29" s="28">
        <f>INDEX($E$6:$E$14,B29)</f>
        <v>27</v>
      </c>
      <c r="G29" s="28">
        <f>INDEX($D$6:$D$14,A29)+$B$16*(1-C29)</f>
        <v>164</v>
      </c>
    </row>
    <row r="30" spans="1:13" x14ac:dyDescent="0.25">
      <c r="A30" s="16">
        <v>7</v>
      </c>
      <c r="B30" s="16">
        <v>8</v>
      </c>
      <c r="C30" s="26">
        <v>1</v>
      </c>
      <c r="D30" s="28">
        <f>INDEX($E$6:$E$14,A30)</f>
        <v>99</v>
      </c>
      <c r="E30" s="28">
        <f>INDEX($D$6:$D$14,B30)+$B$16*C30</f>
        <v>219</v>
      </c>
      <c r="F30" s="28">
        <f>INDEX($E$6:$E$14,B30)</f>
        <v>89</v>
      </c>
      <c r="G30" s="28">
        <f>INDEX($D$6:$D$14,A30)+$B$16*(1-C30)</f>
        <v>89</v>
      </c>
      <c r="M30" s="30"/>
    </row>
    <row r="31" spans="1:13" x14ac:dyDescent="0.25">
      <c r="A31" s="16">
        <v>7</v>
      </c>
      <c r="B31" s="16">
        <v>9</v>
      </c>
      <c r="C31" s="26">
        <v>1</v>
      </c>
      <c r="D31" s="28">
        <f>INDEX($E$6:$E$14,A31)</f>
        <v>99</v>
      </c>
      <c r="E31" s="28">
        <f>INDEX($D$6:$D$14,B31)+$B$16*C31</f>
        <v>191</v>
      </c>
      <c r="F31" s="28">
        <f>INDEX($E$6:$E$14,B31)</f>
        <v>55</v>
      </c>
      <c r="G31" s="28">
        <f>INDEX($D$6:$D$14,A31)+$B$16*(1-C31)</f>
        <v>89</v>
      </c>
    </row>
    <row r="32" spans="1:13" x14ac:dyDescent="0.25">
      <c r="A32" s="16">
        <v>8</v>
      </c>
      <c r="B32" s="16">
        <v>9</v>
      </c>
      <c r="C32" s="26">
        <v>1</v>
      </c>
      <c r="D32" s="28">
        <f>INDEX($E$6:$E$14,A32)</f>
        <v>89</v>
      </c>
      <c r="E32" s="28">
        <f>INDEX($D$6:$D$14,B32)+$B$16*C32</f>
        <v>191</v>
      </c>
      <c r="F32" s="28">
        <f>INDEX($E$6:$E$14,B32)</f>
        <v>55</v>
      </c>
      <c r="G32" s="28">
        <f>INDEX($D$6:$D$14,A32)+$B$16*(1-C32)</f>
        <v>55</v>
      </c>
    </row>
  </sheetData>
  <mergeCells count="6">
    <mergeCell ref="A3:B3"/>
    <mergeCell ref="A18:D18"/>
    <mergeCell ref="A25:G25"/>
    <mergeCell ref="A26:C26"/>
    <mergeCell ref="D26:E26"/>
    <mergeCell ref="F26:G2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JobShop (non générique)</vt:lpstr>
      <vt:lpstr>JobShop (générique)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sevaux</dc:creator>
  <cp:lastModifiedBy>marc</cp:lastModifiedBy>
  <dcterms:created xsi:type="dcterms:W3CDTF">2010-01-06T08:51:21Z</dcterms:created>
  <dcterms:modified xsi:type="dcterms:W3CDTF">2010-11-15T13:49:53Z</dcterms:modified>
</cp:coreProperties>
</file>