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ww\python-data-science2\26. Recherche opérationnelle en Excel\40 - KNAPSAC SIMPLE - EXCEL\"/>
    </mc:Choice>
  </mc:AlternateContent>
  <bookViews>
    <workbookView xWindow="0" yWindow="0" windowWidth="23040" windowHeight="9192"/>
  </bookViews>
  <sheets>
    <sheet name="Sheet1" sheetId="2" r:id="rId1"/>
  </sheets>
  <functionGroups builtInGroupCount="18"/>
  <definedNames>
    <definedName name="Dollar">Sheet1!$K$4:$K$8</definedName>
    <definedName name="items">Sheet1!$G$4:$G$8</definedName>
    <definedName name="solver_adj" localSheetId="0" hidden="1">Sheet1!$I$4:$I$8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Sheet1!$I$11</definedName>
    <definedName name="solver_lhs2" localSheetId="0" hidden="1">Sheet1!$I$4:$I$8</definedName>
    <definedName name="solver_lhs3" localSheetId="0" hidden="1">Sheet1!$I$4:$I$8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Sheet1!$I$10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el3" localSheetId="0" hidden="1">5</definedName>
    <definedName name="solver_rhs1" localSheetId="0" hidden="1">15</definedName>
    <definedName name="solver_rhs2" localSheetId="0" hidden="1">"binary"</definedName>
    <definedName name="solver_rhs3" localSheetId="0" hidden="1">binary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mWeights">Sheet1!$I$11</definedName>
    <definedName name="weights">Sheet1!$J$4:$J$8</definedName>
    <definedName name="xValues">Sheet1!$I$4:$I$8</definedName>
    <definedName name="Z">Sheet1!$I$10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K18" i="2" s="1"/>
  <c r="M18" i="2" s="1"/>
  <c r="O18" i="2" s="1"/>
  <c r="Q18" i="2" s="1"/>
  <c r="R18" i="2" s="1"/>
  <c r="I10" i="2" l="1"/>
  <c r="I11" i="2"/>
</calcChain>
</file>

<file path=xl/sharedStrings.xml><?xml version="1.0" encoding="utf-8"?>
<sst xmlns="http://schemas.openxmlformats.org/spreadsheetml/2006/main" count="37" uniqueCount="30">
  <si>
    <t>Item</t>
  </si>
  <si>
    <t>Weight</t>
  </si>
  <si>
    <t>Red</t>
  </si>
  <si>
    <t>Yellow</t>
  </si>
  <si>
    <t>Green</t>
  </si>
  <si>
    <t>Grey</t>
  </si>
  <si>
    <t>Blue</t>
  </si>
  <si>
    <r>
      <t>x</t>
    </r>
    <r>
      <rPr>
        <i/>
        <vertAlign val="subscript"/>
        <sz val="11"/>
        <color theme="1"/>
        <rFont val="Calibri"/>
        <family val="2"/>
        <scheme val="minor"/>
      </rPr>
      <t>j</t>
    </r>
  </si>
  <si>
    <t>https://en.wikipedia.org/wiki/Knapsack_problem</t>
  </si>
  <si>
    <t>j</t>
  </si>
  <si>
    <t>Z</t>
  </si>
  <si>
    <t>Dollar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</si>
  <si>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weights</t>
    </r>
  </si>
  <si>
    <t>Function knapsack(n As Integer, sumW As Single)</t>
  </si>
  <si>
    <t>Dim ifTaken As Single, ifLeft As Single</t>
  </si>
  <si>
    <t>If (n = 0) Then</t>
  </si>
  <si>
    <t xml:space="preserve">    knapsack = 0</t>
  </si>
  <si>
    <t>ElseIf (w(n) &gt; sumW) Then</t>
  </si>
  <si>
    <t xml:space="preserve">    knapsack = knapsack(n - 1, sumW)</t>
  </si>
  <si>
    <t>Else</t>
  </si>
  <si>
    <t xml:space="preserve">    ifTaken = knapsack(n - 1, sumW - w(n)) + v(n)</t>
  </si>
  <si>
    <t xml:space="preserve">    ifLeft = knapsack(n - 1, sumW)</t>
  </si>
  <si>
    <t xml:space="preserve">    knapsack = max(ifTaken, ifLeft)</t>
  </si>
  <si>
    <t>End If</t>
  </si>
  <si>
    <t>End Function</t>
  </si>
  <si>
    <t xml:space="preserve">Yellow </t>
  </si>
  <si>
    <t>¾¾®</t>
  </si>
  <si>
    <t>Stages</t>
  </si>
  <si>
    <r>
      <t>S=15</t>
    </r>
    <r>
      <rPr>
        <sz val="11"/>
        <color theme="1"/>
        <rFont val="Symbol"/>
        <family val="1"/>
        <charset val="2"/>
      </rPr>
      <t>¾®</t>
    </r>
  </si>
  <si>
    <r>
      <rPr>
        <sz val="11"/>
        <color theme="1"/>
        <rFont val="Symbol"/>
        <family val="1"/>
        <charset val="2"/>
      </rPr>
      <t>¾®</t>
    </r>
    <r>
      <rPr>
        <sz val="11"/>
        <color theme="1"/>
        <rFont val="Calibri"/>
        <family val="2"/>
        <scheme val="minor"/>
      </rPr>
      <t>S&gt;0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</si>
</sst>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505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n.wikipedia.org/wiki/File:Knapsack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556260</xdr:colOff>
      <xdr:row>11</xdr:row>
      <xdr:rowOff>38100</xdr:rowOff>
    </xdr:to>
    <xdr:pic>
      <xdr:nvPicPr>
        <xdr:cNvPr id="2" name="Picture 1" descr="https://upload.wikimedia.org/wikipedia/commons/thumb/f/fd/Knapsack.svg/375px-Knapsack.svg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385060" cy="2065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Knapsack_proble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7"/>
  <sheetViews>
    <sheetView tabSelected="1" zoomScale="145" zoomScaleNormal="145" workbookViewId="0">
      <selection activeCell="K10" sqref="K10"/>
    </sheetView>
  </sheetViews>
  <sheetFormatPr defaultRowHeight="14.4" x14ac:dyDescent="0.3"/>
  <sheetData>
    <row r="1" spans="1:18" x14ac:dyDescent="0.3">
      <c r="G1" s="2" t="s">
        <v>8</v>
      </c>
      <c r="H1" s="2"/>
    </row>
    <row r="3" spans="1:18" ht="15.6" x14ac:dyDescent="0.35">
      <c r="G3" t="s">
        <v>0</v>
      </c>
      <c r="H3" s="1" t="s">
        <v>9</v>
      </c>
      <c r="I3" s="1" t="s">
        <v>7</v>
      </c>
      <c r="J3" t="s">
        <v>1</v>
      </c>
      <c r="K3" t="s">
        <v>11</v>
      </c>
    </row>
    <row r="4" spans="1:18" x14ac:dyDescent="0.3">
      <c r="G4" t="s">
        <v>2</v>
      </c>
      <c r="H4">
        <v>1</v>
      </c>
      <c r="I4">
        <v>1</v>
      </c>
      <c r="J4">
        <v>1</v>
      </c>
      <c r="K4">
        <v>1</v>
      </c>
    </row>
    <row r="5" spans="1:18" x14ac:dyDescent="0.3">
      <c r="G5" t="s">
        <v>3</v>
      </c>
      <c r="H5">
        <v>2</v>
      </c>
      <c r="I5">
        <v>1</v>
      </c>
      <c r="J5">
        <v>4</v>
      </c>
      <c r="K5">
        <v>10</v>
      </c>
    </row>
    <row r="6" spans="1:18" x14ac:dyDescent="0.3">
      <c r="G6" t="s">
        <v>4</v>
      </c>
      <c r="H6">
        <v>3</v>
      </c>
      <c r="I6">
        <v>0</v>
      </c>
      <c r="J6">
        <v>12</v>
      </c>
      <c r="K6">
        <v>4</v>
      </c>
    </row>
    <row r="7" spans="1:18" x14ac:dyDescent="0.3">
      <c r="G7" t="s">
        <v>5</v>
      </c>
      <c r="H7">
        <v>4</v>
      </c>
      <c r="I7">
        <v>1</v>
      </c>
      <c r="J7">
        <v>1</v>
      </c>
      <c r="K7">
        <v>2</v>
      </c>
    </row>
    <row r="8" spans="1:18" x14ac:dyDescent="0.3">
      <c r="G8" t="s">
        <v>6</v>
      </c>
      <c r="H8">
        <v>5</v>
      </c>
      <c r="I8">
        <v>1</v>
      </c>
      <c r="J8">
        <v>2</v>
      </c>
      <c r="K8">
        <v>2</v>
      </c>
    </row>
    <row r="10" spans="1:18" x14ac:dyDescent="0.3">
      <c r="H10" t="s">
        <v>10</v>
      </c>
      <c r="I10">
        <f>SUMPRODUCT(xValues,Dollar)</f>
        <v>15</v>
      </c>
    </row>
    <row r="11" spans="1:18" x14ac:dyDescent="0.3">
      <c r="H11" t="s">
        <v>12</v>
      </c>
      <c r="I11">
        <f>SUMPRODUCT(xValues,weights)</f>
        <v>8</v>
      </c>
    </row>
    <row r="15" spans="1:18" x14ac:dyDescent="0.3">
      <c r="H15" t="s">
        <v>27</v>
      </c>
      <c r="I15" s="4">
        <v>5</v>
      </c>
      <c r="J15" s="4"/>
      <c r="K15" s="4">
        <v>4</v>
      </c>
      <c r="L15" s="4"/>
      <c r="M15" s="4">
        <v>3</v>
      </c>
      <c r="N15" s="4"/>
      <c r="O15" s="4">
        <v>2</v>
      </c>
      <c r="P15" s="4"/>
      <c r="Q15" s="4">
        <v>1</v>
      </c>
    </row>
    <row r="16" spans="1:18" x14ac:dyDescent="0.3">
      <c r="A16" s="3" t="s">
        <v>13</v>
      </c>
      <c r="H16" t="s">
        <v>28</v>
      </c>
      <c r="I16" s="6" t="s">
        <v>6</v>
      </c>
      <c r="J16" s="5" t="s">
        <v>26</v>
      </c>
      <c r="K16" s="7" t="s">
        <v>5</v>
      </c>
      <c r="L16" s="5" t="s">
        <v>26</v>
      </c>
      <c r="M16" s="8" t="s">
        <v>4</v>
      </c>
      <c r="N16" s="5" t="s">
        <v>26</v>
      </c>
      <c r="O16" s="9" t="s">
        <v>25</v>
      </c>
      <c r="P16" s="5" t="s">
        <v>26</v>
      </c>
      <c r="Q16" s="10" t="s">
        <v>2</v>
      </c>
      <c r="R16" t="s">
        <v>29</v>
      </c>
    </row>
    <row r="17" spans="1:18" x14ac:dyDescent="0.3">
      <c r="A17" s="3" t="s">
        <v>14</v>
      </c>
    </row>
    <row r="18" spans="1:18" x14ac:dyDescent="0.3">
      <c r="A18" s="3" t="s">
        <v>15</v>
      </c>
      <c r="H18" s="4">
        <v>15</v>
      </c>
      <c r="I18">
        <f>H18-I8*J8</f>
        <v>13</v>
      </c>
      <c r="K18">
        <f>I18-I7*J7</f>
        <v>12</v>
      </c>
      <c r="M18">
        <f>K18-I6*J6</f>
        <v>12</v>
      </c>
      <c r="O18">
        <f>M18-I5*J5</f>
        <v>8</v>
      </c>
      <c r="Q18">
        <f>O18-I4*J4</f>
        <v>7</v>
      </c>
      <c r="R18" s="4" t="str">
        <f>IF(Q18&gt;0,"OK","Not OK")</f>
        <v>OK</v>
      </c>
    </row>
    <row r="19" spans="1:18" x14ac:dyDescent="0.3">
      <c r="A19" s="3" t="s">
        <v>16</v>
      </c>
    </row>
    <row r="20" spans="1:18" x14ac:dyDescent="0.3">
      <c r="A20" s="3" t="s">
        <v>17</v>
      </c>
    </row>
    <row r="21" spans="1:18" x14ac:dyDescent="0.3">
      <c r="A21" s="3" t="s">
        <v>18</v>
      </c>
    </row>
    <row r="22" spans="1:18" x14ac:dyDescent="0.3">
      <c r="A22" s="3" t="s">
        <v>19</v>
      </c>
    </row>
    <row r="23" spans="1:18" x14ac:dyDescent="0.3">
      <c r="A23" s="3" t="s">
        <v>20</v>
      </c>
    </row>
    <row r="24" spans="1:18" x14ac:dyDescent="0.3">
      <c r="A24" s="3" t="s">
        <v>21</v>
      </c>
    </row>
    <row r="25" spans="1:18" x14ac:dyDescent="0.3">
      <c r="A25" s="3" t="s">
        <v>22</v>
      </c>
    </row>
    <row r="26" spans="1:18" x14ac:dyDescent="0.3">
      <c r="A26" s="3" t="s">
        <v>23</v>
      </c>
    </row>
    <row r="27" spans="1:18" x14ac:dyDescent="0.3">
      <c r="A27" s="3" t="s">
        <v>24</v>
      </c>
    </row>
  </sheetData>
  <hyperlinks>
    <hyperlink ref="G1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Dollar</vt:lpstr>
      <vt:lpstr>items</vt:lpstr>
      <vt:lpstr>sumWeights</vt:lpstr>
      <vt:lpstr>weights</vt:lpstr>
      <vt:lpstr>xValues</vt:lpstr>
      <vt:lpstr>Z</vt:lpstr>
    </vt:vector>
  </TitlesOfParts>
  <Company>NTNU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Jørn Vatn</dc:creator>
  <cp:lastModifiedBy>estelle</cp:lastModifiedBy>
  <dcterms:created xsi:type="dcterms:W3CDTF">2017-07-25T13:05:32Z</dcterms:created>
  <dcterms:modified xsi:type="dcterms:W3CDTF">2022-04-25T13:53:32Z</dcterms:modified>
</cp:coreProperties>
</file>